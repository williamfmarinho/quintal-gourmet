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psantos\OneDrive\Nova pasta\"/>
    </mc:Choice>
  </mc:AlternateContent>
  <xr:revisionPtr revIDLastSave="0" documentId="13_ncr:1_{BDAB2C7D-46BF-4462-8A99-86651C9E47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TOS" sheetId="1" r:id="rId1"/>
    <sheet name="CONSULTA" sheetId="6" r:id="rId2"/>
    <sheet name="ENTRADAS" sheetId="3" r:id="rId3"/>
    <sheet name="SAÍDAS" sheetId="4" r:id="rId4"/>
    <sheet name="AJUST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S10" i="1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8" i="3"/>
  <c r="I9" i="3"/>
  <c r="I10" i="3"/>
  <c r="I11" i="3"/>
  <c r="I12" i="3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K9" i="1"/>
  <c r="P9" i="1" s="1"/>
  <c r="K10" i="1"/>
  <c r="K11" i="1"/>
  <c r="K12" i="1"/>
  <c r="O12" i="1" s="1"/>
  <c r="K13" i="1"/>
  <c r="O13" i="1" s="1"/>
  <c r="K14" i="1"/>
  <c r="K15" i="1"/>
  <c r="K16" i="1"/>
  <c r="K17" i="1"/>
  <c r="K18" i="1"/>
  <c r="O18" i="1" s="1"/>
  <c r="K19" i="1"/>
  <c r="O19" i="1" s="1"/>
  <c r="K20" i="1"/>
  <c r="O20" i="1" s="1"/>
  <c r="K21" i="1"/>
  <c r="O21" i="1" s="1"/>
  <c r="K22" i="1"/>
  <c r="K23" i="1"/>
  <c r="K24" i="1"/>
  <c r="K25" i="1"/>
  <c r="O25" i="1" s="1"/>
  <c r="K26" i="1"/>
  <c r="O26" i="1" s="1"/>
  <c r="K27" i="1"/>
  <c r="L9" i="1"/>
  <c r="Q9" i="1" s="1"/>
  <c r="L10" i="1"/>
  <c r="N10" i="1" s="1"/>
  <c r="L11" i="1"/>
  <c r="Q11" i="1" s="1"/>
  <c r="L12" i="1"/>
  <c r="Q12" i="1" s="1"/>
  <c r="L13" i="1"/>
  <c r="Q13" i="1" s="1"/>
  <c r="L14" i="1"/>
  <c r="L15" i="1"/>
  <c r="L16" i="1"/>
  <c r="L17" i="1"/>
  <c r="Q17" i="1" s="1"/>
  <c r="L18" i="1"/>
  <c r="L19" i="1"/>
  <c r="Q19" i="1" s="1"/>
  <c r="L20" i="1"/>
  <c r="Q20" i="1" s="1"/>
  <c r="L21" i="1"/>
  <c r="Q21" i="1" s="1"/>
  <c r="L22" i="1"/>
  <c r="L23" i="1"/>
  <c r="Q23" i="1" s="1"/>
  <c r="L24" i="1"/>
  <c r="Q24" i="1" s="1"/>
  <c r="L25" i="1"/>
  <c r="Q25" i="1" s="1"/>
  <c r="L26" i="1"/>
  <c r="Q26" i="1" s="1"/>
  <c r="L27" i="1"/>
  <c r="Q27" i="1" s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N23" i="1" s="1"/>
  <c r="M24" i="1"/>
  <c r="M25" i="1"/>
  <c r="M26" i="1"/>
  <c r="M27" i="1"/>
  <c r="N11" i="1"/>
  <c r="O10" i="1"/>
  <c r="O11" i="1"/>
  <c r="O14" i="1"/>
  <c r="O15" i="1"/>
  <c r="O16" i="1"/>
  <c r="O17" i="1"/>
  <c r="O22" i="1"/>
  <c r="O23" i="1"/>
  <c r="O24" i="1"/>
  <c r="O27" i="1"/>
  <c r="P10" i="1"/>
  <c r="P11" i="1"/>
  <c r="P17" i="1"/>
  <c r="S17" i="1" s="1"/>
  <c r="P22" i="1"/>
  <c r="P23" i="1"/>
  <c r="P25" i="1"/>
  <c r="S25" i="1" s="1"/>
  <c r="Q14" i="1"/>
  <c r="Q15" i="1"/>
  <c r="Q16" i="1"/>
  <c r="Q18" i="1"/>
  <c r="Q22" i="1"/>
  <c r="S11" i="1"/>
  <c r="S22" i="1"/>
  <c r="S23" i="1"/>
  <c r="E11" i="6"/>
  <c r="E12" i="6"/>
  <c r="E13" i="6"/>
  <c r="E14" i="6"/>
  <c r="E15" i="6"/>
  <c r="E16" i="6"/>
  <c r="E17" i="6"/>
  <c r="E21" i="6"/>
  <c r="E20" i="6"/>
  <c r="E19" i="6"/>
  <c r="E9" i="6"/>
  <c r="E8" i="6"/>
  <c r="E7" i="6"/>
  <c r="E6" i="6"/>
  <c r="M7" i="1"/>
  <c r="M8" i="1"/>
  <c r="L7" i="1"/>
  <c r="Q7" i="1" s="1"/>
  <c r="L8" i="1"/>
  <c r="Q8" i="1" s="1"/>
  <c r="K7" i="1"/>
  <c r="P7" i="1" s="1"/>
  <c r="S7" i="1" s="1"/>
  <c r="K8" i="1"/>
  <c r="O8" i="1" s="1"/>
  <c r="I7" i="4"/>
  <c r="I7" i="3"/>
  <c r="Q10" i="1" l="1"/>
  <c r="N17" i="1"/>
  <c r="P13" i="1"/>
  <c r="S13" i="1" s="1"/>
  <c r="P21" i="1"/>
  <c r="S21" i="1" s="1"/>
  <c r="O9" i="1"/>
  <c r="N9" i="1"/>
  <c r="N15" i="1"/>
  <c r="N25" i="1"/>
  <c r="N24" i="1"/>
  <c r="N12" i="1"/>
  <c r="N16" i="1"/>
  <c r="N26" i="1"/>
  <c r="N27" i="1"/>
  <c r="N14" i="1"/>
  <c r="N13" i="1"/>
  <c r="N22" i="1"/>
  <c r="N21" i="1"/>
  <c r="P20" i="1"/>
  <c r="S20" i="1" s="1"/>
  <c r="P18" i="1"/>
  <c r="S18" i="1" s="1"/>
  <c r="N20" i="1"/>
  <c r="P19" i="1"/>
  <c r="S19" i="1" s="1"/>
  <c r="P16" i="1"/>
  <c r="S16" i="1" s="1"/>
  <c r="N18" i="1"/>
  <c r="P27" i="1"/>
  <c r="S27" i="1" s="1"/>
  <c r="P15" i="1"/>
  <c r="S15" i="1" s="1"/>
  <c r="P26" i="1"/>
  <c r="S26" i="1" s="1"/>
  <c r="P14" i="1"/>
  <c r="S14" i="1" s="1"/>
  <c r="N19" i="1"/>
  <c r="P24" i="1"/>
  <c r="S24" i="1" s="1"/>
  <c r="P12" i="1"/>
  <c r="S12" i="1" s="1"/>
  <c r="O7" i="1"/>
  <c r="P8" i="1"/>
  <c r="S8" i="1" s="1"/>
  <c r="N8" i="1"/>
  <c r="N7" i="1"/>
</calcChain>
</file>

<file path=xl/sharedStrings.xml><?xml version="1.0" encoding="utf-8"?>
<sst xmlns="http://schemas.openxmlformats.org/spreadsheetml/2006/main" count="179" uniqueCount="99">
  <si>
    <t>COD_ITEM</t>
  </si>
  <si>
    <t>DESCRIÇÃO</t>
  </si>
  <si>
    <t>Código Barras</t>
  </si>
  <si>
    <t>CAD_1</t>
  </si>
  <si>
    <t>CAD_2</t>
  </si>
  <si>
    <t>CAD_3</t>
  </si>
  <si>
    <t>EST. INI</t>
  </si>
  <si>
    <t>EST. FIN</t>
  </si>
  <si>
    <t>ENTR</t>
  </si>
  <si>
    <t>SAÍD</t>
  </si>
  <si>
    <t>AJS</t>
  </si>
  <si>
    <t>ÚLT. ENTR</t>
  </si>
  <si>
    <t>ÚLT. SAÍD</t>
  </si>
  <si>
    <t>DIAS S/ MOV</t>
  </si>
  <si>
    <t>* daqui para frente, automático</t>
  </si>
  <si>
    <t>Relação de Produtos</t>
  </si>
  <si>
    <t>Entrada de Produtos</t>
  </si>
  <si>
    <t>Saída de Produtos</t>
  </si>
  <si>
    <t>Ajustes de Estoque</t>
  </si>
  <si>
    <t>QTD ENT</t>
  </si>
  <si>
    <t>NFE</t>
  </si>
  <si>
    <t>VLR_TOT</t>
  </si>
  <si>
    <t>VLR_UNIT</t>
  </si>
  <si>
    <t>DT HR ENT</t>
  </si>
  <si>
    <t>CTM. INI</t>
  </si>
  <si>
    <t>CTM ATUAL</t>
  </si>
  <si>
    <t>NFS</t>
  </si>
  <si>
    <t>DT HR SAI</t>
  </si>
  <si>
    <t>QTD SAI</t>
  </si>
  <si>
    <t>DT HR CONT</t>
  </si>
  <si>
    <t>QTD AJS</t>
  </si>
  <si>
    <t>COMENTÁRIOS - 1</t>
  </si>
  <si>
    <t>COMENTÁRIOS - 2</t>
  </si>
  <si>
    <t>Entrada</t>
  </si>
  <si>
    <t>Consulta de Item</t>
  </si>
  <si>
    <t xml:space="preserve">Código Item: </t>
  </si>
  <si>
    <t>P101</t>
  </si>
  <si>
    <t xml:space="preserve">Descrição: </t>
  </si>
  <si>
    <t xml:space="preserve">Cadastro 1: </t>
  </si>
  <si>
    <t xml:space="preserve">Cadastro 2: </t>
  </si>
  <si>
    <t xml:space="preserve">Cadastro 3: </t>
  </si>
  <si>
    <t xml:space="preserve">Estoque Inicial: </t>
  </si>
  <si>
    <t xml:space="preserve">CTM Inicial: </t>
  </si>
  <si>
    <t xml:space="preserve">Entradas: </t>
  </si>
  <si>
    <t xml:space="preserve">Saídas: </t>
  </si>
  <si>
    <t xml:space="preserve">Ajustes: </t>
  </si>
  <si>
    <t xml:space="preserve">Estoque Final: </t>
  </si>
  <si>
    <t xml:space="preserve">CTM Atual: </t>
  </si>
  <si>
    <t xml:space="preserve">Última Entrada: </t>
  </si>
  <si>
    <t xml:space="preserve">Última Saída: </t>
  </si>
  <si>
    <t xml:space="preserve">Dias S/ Mov: </t>
  </si>
  <si>
    <t>ÚLT. AJUSTE</t>
  </si>
  <si>
    <t>LINFMQ</t>
  </si>
  <si>
    <t>LINFB</t>
  </si>
  <si>
    <t>LINT</t>
  </si>
  <si>
    <t>LINTQ</t>
  </si>
  <si>
    <t>LINTPQ</t>
  </si>
  <si>
    <t>LINCU</t>
  </si>
  <si>
    <t>LINCA</t>
  </si>
  <si>
    <t>LINCAQP</t>
  </si>
  <si>
    <t>LINCAQ</t>
  </si>
  <si>
    <t>LINCSQ</t>
  </si>
  <si>
    <t>DESCS</t>
  </si>
  <si>
    <t>DESFR</t>
  </si>
  <si>
    <t>KAFB</t>
  </si>
  <si>
    <t>KAFS</t>
  </si>
  <si>
    <t>KAFF</t>
  </si>
  <si>
    <t>TULC</t>
  </si>
  <si>
    <t>TULR</t>
  </si>
  <si>
    <t>FAR</t>
  </si>
  <si>
    <t>TOR</t>
  </si>
  <si>
    <t>FEI</t>
  </si>
  <si>
    <t>HMB</t>
  </si>
  <si>
    <t>LINGUIÇA DE FRANGO COM MAJERICÃO E QUEIJO</t>
  </si>
  <si>
    <t>LINGUIÇA DE FRANGO COM BACON</t>
  </si>
  <si>
    <t>LINGUIÇA TOSCANA</t>
  </si>
  <si>
    <t>LINGUIÇA TOSCANA COM QUEIJO</t>
  </si>
  <si>
    <t>LINGUIÇA TOSCANA PICANTE COM QUEIJO</t>
  </si>
  <si>
    <t>LINGUIÇA CUIABANA</t>
  </si>
  <si>
    <t>LINGUIÇA CARNEIRO</t>
  </si>
  <si>
    <t>LINGUIÇA CARNEIRO COM QUEIJO PICANTE</t>
  </si>
  <si>
    <t xml:space="preserve">LINGUIÇA CARNEIRO COM QUEIJO </t>
  </si>
  <si>
    <t>LINGUIÇA CARNE DE SOL COM QUEIJO</t>
  </si>
  <si>
    <t>CARNE DE SOL DESFIADA</t>
  </si>
  <si>
    <t>FRANGO DESFIADO</t>
  </si>
  <si>
    <t>KAFTA BOVINA</t>
  </si>
  <si>
    <t>KAFTA SUINA</t>
  </si>
  <si>
    <t>KAFTA DE FRANGO</t>
  </si>
  <si>
    <t>TULIPA COM CHEDDAR</t>
  </si>
  <si>
    <t>TULIPA COM REQUEIJÃO</t>
  </si>
  <si>
    <t>FAROFA</t>
  </si>
  <si>
    <t>TORRESMO</t>
  </si>
  <si>
    <t>FEIJOADA</t>
  </si>
  <si>
    <t>HAMBURGUER</t>
  </si>
  <si>
    <t>EDYCARLOS</t>
  </si>
  <si>
    <t>OTACIANO</t>
  </si>
  <si>
    <t>AUGUSTO SELMI</t>
  </si>
  <si>
    <t>ALEXANDRA FLORA</t>
  </si>
  <si>
    <t>KIT FEIJOADA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</si>
</sst>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(00\)00000\-0000"/>
    <numFmt numFmtId="165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8"/>
      <color theme="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sz val="11"/>
      <color theme="1" tint="4.9989318521683403E-2"/>
      <name val="Calibri Light"/>
      <family val="2"/>
      <scheme val="major"/>
    </font>
    <font>
      <b/>
      <sz val="11"/>
      <color rgb="FFADD0CF"/>
      <name val="Calibri Light"/>
      <family val="2"/>
      <scheme val="major"/>
    </font>
    <font>
      <b/>
      <sz val="12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ADD0CF"/>
        <bgColor indexed="64"/>
      </patternFill>
    </fill>
    <fill>
      <patternFill patternType="solid">
        <fgColor rgb="FFD5E7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ADD0CF"/>
      </left>
      <right style="thin">
        <color rgb="FFADD0CF"/>
      </right>
      <top style="thin">
        <color rgb="FFADD0CF"/>
      </top>
      <bottom style="thin">
        <color rgb="FFADD0C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/>
    <xf numFmtId="0" fontId="2" fillId="3" borderId="0" xfId="0" applyFont="1" applyFill="1" applyAlignment="1" applyProtection="1">
      <alignment horizontal="center"/>
      <protection locked="0"/>
    </xf>
    <xf numFmtId="0" fontId="2" fillId="3" borderId="0" xfId="0" applyFont="1" applyFill="1" applyProtection="1">
      <protection locked="0"/>
    </xf>
    <xf numFmtId="0" fontId="3" fillId="3" borderId="0" xfId="0" applyFont="1" applyFill="1" applyAlignment="1" applyProtection="1">
      <alignment vertical="center"/>
      <protection locked="0"/>
    </xf>
    <xf numFmtId="1" fontId="2" fillId="3" borderId="0" xfId="0" applyNumberFormat="1" applyFont="1" applyFill="1" applyProtection="1">
      <protection locked="0"/>
    </xf>
    <xf numFmtId="14" fontId="2" fillId="3" borderId="0" xfId="0" applyNumberFormat="1" applyFont="1" applyFill="1" applyProtection="1">
      <protection locked="0"/>
    </xf>
    <xf numFmtId="164" fontId="2" fillId="3" borderId="0" xfId="0" applyNumberFormat="1" applyFont="1" applyFill="1" applyProtection="1">
      <protection locked="0"/>
    </xf>
    <xf numFmtId="0" fontId="1" fillId="3" borderId="0" xfId="0" applyFont="1" applyFill="1" applyProtection="1">
      <protection locked="0"/>
    </xf>
    <xf numFmtId="0" fontId="4" fillId="2" borderId="0" xfId="0" applyFont="1" applyFill="1" applyAlignment="1">
      <alignment horizontal="right"/>
    </xf>
    <xf numFmtId="0" fontId="1" fillId="0" borderId="0" xfId="0" applyFont="1"/>
    <xf numFmtId="0" fontId="1" fillId="5" borderId="1" xfId="0" applyFont="1" applyFill="1" applyBorder="1"/>
    <xf numFmtId="0" fontId="4" fillId="5" borderId="1" xfId="0" applyFont="1" applyFill="1" applyBorder="1"/>
    <xf numFmtId="0" fontId="5" fillId="2" borderId="0" xfId="0" quotePrefix="1" applyFont="1" applyFill="1"/>
    <xf numFmtId="14" fontId="1" fillId="6" borderId="0" xfId="0" applyNumberFormat="1" applyFont="1" applyFill="1"/>
    <xf numFmtId="0" fontId="6" fillId="4" borderId="0" xfId="0" applyFont="1" applyFill="1"/>
    <xf numFmtId="22" fontId="1" fillId="0" borderId="0" xfId="0" applyNumberFormat="1" applyFont="1"/>
    <xf numFmtId="165" fontId="1" fillId="0" borderId="0" xfId="0" applyNumberFormat="1" applyFont="1"/>
    <xf numFmtId="4" fontId="1" fillId="0" borderId="0" xfId="0" applyNumberFormat="1" applyFont="1"/>
    <xf numFmtId="0" fontId="1" fillId="4" borderId="0" xfId="0" applyFont="1" applyFill="1"/>
    <xf numFmtId="165" fontId="1" fillId="6" borderId="0" xfId="0" applyNumberFormat="1" applyFont="1" applyFill="1"/>
    <xf numFmtId="4" fontId="1" fillId="6" borderId="0" xfId="0" applyNumberFormat="1" applyFont="1" applyFill="1"/>
    <xf numFmtId="0" fontId="1" fillId="6" borderId="0" xfId="0" applyFont="1" applyFill="1"/>
    <xf numFmtId="0" fontId="7" fillId="5" borderId="1" xfId="0" applyFont="1" applyFill="1" applyBorder="1"/>
    <xf numFmtId="0" fontId="1" fillId="2" borderId="0" xfId="0" applyFont="1" applyFill="1" applyAlignment="1">
      <alignment horizontal="center"/>
    </xf>
    <xf numFmtId="1" fontId="2" fillId="3" borderId="0" xfId="0" applyNumberFormat="1" applyFont="1" applyFill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165" fontId="1" fillId="2" borderId="1" xfId="0" applyNumberFormat="1" applyFont="1" applyFill="1" applyBorder="1" applyAlignment="1" applyProtection="1">
      <alignment horizontal="center"/>
      <protection hidden="1"/>
    </xf>
    <xf numFmtId="4" fontId="1" fillId="2" borderId="1" xfId="0" applyNumberFormat="1" applyFont="1" applyFill="1" applyBorder="1" applyAlignment="1" applyProtection="1">
      <alignment horizontal="center"/>
      <protection hidden="1"/>
    </xf>
    <xf numFmtId="14" fontId="1" fillId="2" borderId="1" xfId="0" applyNumberFormat="1" applyFont="1" applyFill="1" applyBorder="1" applyAlignment="1" applyProtection="1">
      <alignment horizontal="center"/>
      <protection hidden="1"/>
    </xf>
    <xf numFmtId="3" fontId="1" fillId="2" borderId="1" xfId="0" applyNumberFormat="1" applyFont="1" applyFill="1" applyBorder="1" applyAlignment="1" applyProtection="1">
      <alignment horizontal="center"/>
      <protection hidden="1"/>
    </xf>
    <xf numFmtId="0" fontId="4" fillId="5" borderId="1" xfId="0" applyFont="1" applyFill="1" applyBorder="1" applyAlignment="1" applyProtection="1">
      <alignment horizontal="center"/>
      <protection locked="0"/>
    </xf>
    <xf numFmtId="165" fontId="8" fillId="6" borderId="0" xfId="0" applyNumberFormat="1" applyFont="1" applyFill="1"/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#,##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27" formatCode="dd/mm/yyyy\ hh:mm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#,##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27" formatCode="dd/mm/yyyy\ hh:mm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#,##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27" formatCode="dd/mm/yyyy\ hh:mm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4" formatCode="#,##0.00"/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family val="2"/>
        <scheme val="major"/>
      </font>
      <numFmt numFmtId="165" formatCode="#,##0.0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#,##0.0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#,##0.0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#,##0.0"/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4" formatCode="#,##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65" formatCode="#,##0.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indexed="64"/>
          <bgColor rgb="FFEEEEEE"/>
        </patternFill>
      </fill>
    </dxf>
    <dxf>
      <font>
        <b/>
        <i val="0"/>
        <color theme="1"/>
      </font>
      <fill>
        <patternFill>
          <bgColor rgb="FFADD0CF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>
          <bgColor theme="0"/>
        </patternFill>
      </fill>
      <border>
        <left style="thin">
          <color rgb="FFADD0CF"/>
        </left>
        <right style="thin">
          <color rgb="FFADD0CF"/>
        </right>
        <top style="thin">
          <color rgb="FFADD0CF"/>
        </top>
        <bottom style="thin">
          <color rgb="FFADD0CF"/>
        </bottom>
        <vertical style="thin">
          <color rgb="FFADD0CF"/>
        </vertical>
        <horizontal style="thin">
          <color rgb="FFADD0CF"/>
        </horizontal>
      </border>
    </dxf>
  </dxfs>
  <tableStyles count="1" defaultTableStyle="TableStyleMedium2" defaultPivotStyle="PivotStyleLight16">
    <tableStyle name="Tab_Ref" pivot="0" count="2" xr9:uid="{A9E9D39B-1402-420B-9D4A-EAB454D1BE7F}">
      <tableStyleElement type="wholeTable" dxfId="42"/>
      <tableStyleElement type="headerRow" dxfId="41"/>
    </tableStyle>
  </tableStyles>
  <colors>
    <mruColors>
      <color rgb="FFEEEEEE"/>
      <color rgb="FFADD0CF"/>
      <color rgb="FFD5E7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1</xdr:row>
      <xdr:rowOff>0</xdr:rowOff>
    </xdr:from>
    <xdr:to>
      <xdr:col>1</xdr:col>
      <xdr:colOff>372906</xdr:colOff>
      <xdr:row>1</xdr:row>
      <xdr:rowOff>323850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FC7C084-1113-4354-825A-4827FBDCC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90500" y="182880"/>
          <a:ext cx="319566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1</xdr:row>
      <xdr:rowOff>0</xdr:rowOff>
    </xdr:from>
    <xdr:to>
      <xdr:col>1</xdr:col>
      <xdr:colOff>372906</xdr:colOff>
      <xdr:row>1</xdr:row>
      <xdr:rowOff>323850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0775A0-9CF0-457A-B1CE-826C7F81F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90500" y="182880"/>
          <a:ext cx="319566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1</xdr:row>
      <xdr:rowOff>0</xdr:rowOff>
    </xdr:from>
    <xdr:to>
      <xdr:col>1</xdr:col>
      <xdr:colOff>372906</xdr:colOff>
      <xdr:row>1</xdr:row>
      <xdr:rowOff>323850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2557D4-781D-4085-B483-EB5338EBF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90500" y="182880"/>
          <a:ext cx="319566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1</xdr:row>
      <xdr:rowOff>0</xdr:rowOff>
    </xdr:from>
    <xdr:to>
      <xdr:col>1</xdr:col>
      <xdr:colOff>372906</xdr:colOff>
      <xdr:row>1</xdr:row>
      <xdr:rowOff>323850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7BE4B3-6F0B-417E-ACE6-F7109A147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90500" y="182880"/>
          <a:ext cx="319566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1</xdr:row>
      <xdr:rowOff>0</xdr:rowOff>
    </xdr:from>
    <xdr:to>
      <xdr:col>1</xdr:col>
      <xdr:colOff>372906</xdr:colOff>
      <xdr:row>1</xdr:row>
      <xdr:rowOff>323850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EA57B2E-094B-4A24-B570-6EB8E33B2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90500" y="182880"/>
          <a:ext cx="319566" cy="3238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EB98CA-4D08-4286-89BB-4086C6115433}" name="Tab_Produtos" displayName="Tab_Produtos" ref="D6:S27" totalsRowShown="0" headerRowDxfId="40" dataDxfId="39">
  <autoFilter ref="D6:S27" xr:uid="{80EB98CA-4D08-4286-89BB-4086C6115433}"/>
  <tableColumns count="16">
    <tableColumn id="1" xr3:uid="{FFBE8775-671D-4FB3-B693-4B044499A055}" name="COD_ITEM" dataDxfId="38"/>
    <tableColumn id="2" xr3:uid="{EE818F11-BE58-4E38-BF2F-7E63A52C7625}" name="DESCRIÇÃO" dataDxfId="37"/>
    <tableColumn id="3" xr3:uid="{488B0C8A-B22B-4D8F-8E3B-7D6D33E8ED62}" name="CAD_1" dataDxfId="36"/>
    <tableColumn id="4" xr3:uid="{FB6B03E5-004F-4112-9A30-7A8227C38810}" name="CAD_2" dataDxfId="35"/>
    <tableColumn id="5" xr3:uid="{BAB0FC4A-A2F6-46BA-A476-9DFED0EBD0FF}" name="CAD_3" dataDxfId="34"/>
    <tableColumn id="6" xr3:uid="{47046D91-F2FC-40EE-A3CC-6CB76E0FAD1A}" name="EST. INI" dataDxfId="33"/>
    <tableColumn id="15" xr3:uid="{DC5947E9-0590-4BC1-9C56-DF1F44D62475}" name="CTM. INI" dataDxfId="32"/>
    <tableColumn id="7" xr3:uid="{92E48C6A-23B0-44CB-9D61-35C88527BFFC}" name="ENTR" dataDxfId="31">
      <calculatedColumnFormula>SUMIFS(Tab_Entradas[QTD ENT],Tab_Entradas[COD_ITEM],Tab_Produtos[[#This Row],[COD_ITEM]])</calculatedColumnFormula>
    </tableColumn>
    <tableColumn id="8" xr3:uid="{3D201236-CE9E-47C6-AE05-BFED3F80C0A9}" name="SAÍD" dataDxfId="30">
      <calculatedColumnFormula>SUMIFS(Tab_Saídas[QTD SAI],Tab_Saídas[COD_ITEM],Tab_Produtos[[#This Row],[COD_ITEM]])</calculatedColumnFormula>
    </tableColumn>
    <tableColumn id="9" xr3:uid="{6E8C103D-6A1D-4730-BA29-38D044DC0E55}" name="AJS" dataDxfId="29">
      <calculatedColumnFormula>SUMIFS(Tab_Ajustes[QTD AJS],Tab_Ajustes[COD_ITEM],Tab_Produtos[[#This Row],[COD_ITEM]])</calculatedColumnFormula>
    </tableColumn>
    <tableColumn id="10" xr3:uid="{DCB99FD1-996D-4568-AA14-2DD8109ADF62}" name="EST. FIN" dataDxfId="28">
      <calculatedColumnFormula>Tab_Produtos[[#This Row],[EST. INI]]+Tab_Produtos[[#This Row],[ENTR]]-Tab_Produtos[[#This Row],[SAÍD]]+Tab_Produtos[[#This Row],[AJS]]</calculatedColumnFormula>
    </tableColumn>
    <tableColumn id="11" xr3:uid="{C2ED8233-8898-40B5-80F3-4A464FB802AF}" name="CTM ATUAL" dataDxfId="27">
      <calculatedColumnFormula>IFERROR((Tab_Produtos[[#This Row],[EST. INI]]*Tab_Produtos[[#This Row],[CTM. INI]]+SUMIFS(Tab_Entradas[VLR_TOT],Tab_Entradas[COD_ITEM],Tab_Produtos[[#This Row],[COD_ITEM]]))/(Tab_Produtos[[#This Row],[EST. INI]]+Tab_Produtos[[#This Row],[ENTR]]),0)</calculatedColumnFormula>
    </tableColumn>
    <tableColumn id="12" xr3:uid="{2C3BC1EC-BEA3-4A52-8A6F-BAB3A2163157}" name="ÚLT. ENTR" dataDxfId="26">
      <calculatedColumnFormula>IF(Tab_Produtos[[#This Row],[ENTR]]=0,"",INT(_xlfn.MAXIFS(Tab_Entradas[DT HR ENT],Tab_Entradas[COD_ITEM],Tab_Produtos[[#This Row],[COD_ITEM]])))</calculatedColumnFormula>
    </tableColumn>
    <tableColumn id="13" xr3:uid="{7D762F39-BD9A-4EC2-B06A-007FDED1397B}" name="ÚLT. SAÍD" dataDxfId="25">
      <calculatedColumnFormula>IF(Tab_Produtos[[#This Row],[SAÍD]]=0,"",INT(_xlfn.MAXIFS(Tab_Saídas[DT HR SAI],Tab_Saídas[COD_ITEM],Tab_Produtos[[#This Row],[COD_ITEM]])))</calculatedColumnFormula>
    </tableColumn>
    <tableColumn id="16" xr3:uid="{5529E403-DA0D-4FB1-9D7D-24395BA4830D}" name="ÚLT. AJUSTE" dataDxfId="24">
      <calculatedColumnFormula>IF(Tab_Produtos[[#This Row],[AJS]]=0,"",INT(_xlfn.MAXIFS(Tab_Ajustes[DT HR CONT],Tab_Ajustes[COD_ITEM],Tab_Produtos[[#This Row],[COD_ITEM]])))</calculatedColumnFormula>
    </tableColumn>
    <tableColumn id="14" xr3:uid="{F4F9A9AC-0FF7-4F58-BAC7-F64297CE796F}" name="DIAS S/ MOV" dataDxfId="23">
      <calculatedColumnFormula>IFERROR(TODAY()-IF($S$4="Entrada",Tab_Produtos[[#This Row],[ÚLT. ENTR]],IF($S$4="Saída",Tab_Produtos[[#This Row],[ÚLT. SAÍD]],MAX(Tab_Produtos[[#This Row],[ÚLT. ENTR]],Tab_Produtos[[#This Row],[ÚLT. SAÍD]]))),"")</calculatedColumnFormula>
    </tableColumn>
  </tableColumns>
  <tableStyleInfo name="Tab_Ref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667A23-AD85-49E9-AF5C-13A70142321B}" name="Tab_Entradas" displayName="Tab_Entradas" ref="D6:I12" totalsRowShown="0" headerRowDxfId="22" dataDxfId="21">
  <autoFilter ref="D6:I12" xr:uid="{94667A23-AD85-49E9-AF5C-13A70142321B}"/>
  <tableColumns count="6">
    <tableColumn id="1" xr3:uid="{A9017040-E635-4FF9-9261-B99D2CA85CC4}" name="COD_ITEM" dataDxfId="20"/>
    <tableColumn id="2" xr3:uid="{D54E79DD-3CED-46B3-BC80-6A3420E939C0}" name="NFE" dataDxfId="19"/>
    <tableColumn id="3" xr3:uid="{E8C1B35E-FB4D-471D-8E31-E38B1D4F0A9D}" name="DT HR ENT" dataDxfId="18"/>
    <tableColumn id="4" xr3:uid="{46BEBA4A-8A0E-4787-A691-385E8719FDE1}" name="QTD ENT" dataDxfId="17"/>
    <tableColumn id="5" xr3:uid="{F70C190C-37FE-4C60-A06D-D67A2E2FBDAA}" name="VLR_TOT" dataDxfId="16"/>
    <tableColumn id="6" xr3:uid="{1CA295AE-95D9-4AC9-9793-F720A678041E}" name="VLR_UNIT" dataDxfId="15">
      <calculatedColumnFormula>IFERROR(Tab_Entradas[[#This Row],[VLR_TOT]]/Tab_Entradas[[#This Row],[QTD ENT]],0)</calculatedColumnFormula>
    </tableColumn>
  </tableColumns>
  <tableStyleInfo name="Tab_Ref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F3F3EC-9653-4779-B109-6A1D94F9D026}" name="Tab_Saídas" displayName="Tab_Saídas" ref="D6:I56" totalsRowShown="0" headerRowDxfId="14" dataDxfId="13">
  <autoFilter ref="D6:I56" xr:uid="{E3F3F3EC-9653-4779-B109-6A1D94F9D026}"/>
  <tableColumns count="6">
    <tableColumn id="1" xr3:uid="{20959E37-5DBA-458B-A9BA-091B078973FC}" name="COD_ITEM" dataDxfId="12"/>
    <tableColumn id="2" xr3:uid="{018FF5E1-AB33-4B0F-A29B-EBFF723B2B10}" name="NFS" dataDxfId="11"/>
    <tableColumn id="3" xr3:uid="{FD661837-1E21-4664-84D8-9D8AD5CC585A}" name="DT HR SAI" dataDxfId="10"/>
    <tableColumn id="4" xr3:uid="{2FE83D72-F929-4409-922D-D0C1B289BF38}" name="QTD SAI" dataDxfId="9"/>
    <tableColumn id="5" xr3:uid="{0E14FB24-1756-423E-B467-9DAAF66B36F9}" name="VLR_TOT" dataDxfId="8"/>
    <tableColumn id="6" xr3:uid="{0CDBC4C5-8E8C-459E-AA54-22223F3364D5}" name="VLR_UNIT" dataDxfId="7">
      <calculatedColumnFormula>IFERROR(Tab_Saídas[[#This Row],[VLR_TOT]]/Tab_Saídas[[#This Row],[QTD SAI]],0)</calculatedColumnFormula>
    </tableColumn>
  </tableColumns>
  <tableStyleInfo name="Tab_Ref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FFE8D5-0EA6-4F9D-BF89-E91F5CB6D351}" name="Tab_Ajustes" displayName="Tab_Ajustes" ref="D6:H17" totalsRowShown="0" headerRowDxfId="6" dataDxfId="5">
  <autoFilter ref="D6:H17" xr:uid="{B0FFE8D5-0EA6-4F9D-BF89-E91F5CB6D351}"/>
  <tableColumns count="5">
    <tableColumn id="1" xr3:uid="{31D2694B-5421-4723-87E4-59561B75EEDB}" name="COD_ITEM" dataDxfId="4"/>
    <tableColumn id="2" xr3:uid="{3B94BB95-BD0F-4A51-944C-9EC8E9F1C483}" name="DT HR CONT" dataDxfId="3"/>
    <tableColumn id="3" xr3:uid="{0F4DE368-D1BC-4976-887F-AD7EC090CE97}" name="QTD AJS" dataDxfId="2"/>
    <tableColumn id="4" xr3:uid="{E0B0B4A5-7C7E-48D4-8466-C0FFBAE981BA}" name="COMENTÁRIOS - 1" dataDxfId="1"/>
    <tableColumn id="5" xr3:uid="{D34E053D-10BE-4E5D-AA98-1049A1B6B3A6}" name="COMENTÁRIOS - 2" dataDxfId="0"/>
  </tableColumns>
  <tableStyleInfo name="Tab_Ref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27"/>
  <sheetViews>
    <sheetView tabSelected="1" topLeftCell="B1" zoomScale="85" zoomScaleNormal="85" workbookViewId="0">
      <selection activeCell="G20" sqref="G20"/>
    </sheetView>
  </sheetViews>
  <sheetFormatPr defaultRowHeight="14.4" x14ac:dyDescent="0.3"/>
  <cols>
    <col min="1" max="1" width="2" style="1" customWidth="1"/>
    <col min="2" max="2" width="5.88671875" style="1" customWidth="1"/>
    <col min="3" max="3" width="2" style="1" customWidth="1"/>
    <col min="4" max="4" width="14.77734375" style="1" customWidth="1"/>
    <col min="5" max="5" width="44.5546875" style="1" bestFit="1" customWidth="1"/>
    <col min="6" max="8" width="13.88671875" style="1" customWidth="1"/>
    <col min="9" max="9" width="9.88671875" style="1" customWidth="1"/>
    <col min="10" max="10" width="12" style="1" customWidth="1"/>
    <col min="11" max="13" width="8.77734375" style="1" customWidth="1"/>
    <col min="14" max="14" width="10.77734375" style="1" customWidth="1"/>
    <col min="15" max="15" width="13.77734375" style="1" customWidth="1"/>
    <col min="16" max="18" width="13.6640625" style="1" customWidth="1"/>
    <col min="19" max="19" width="14.33203125" style="1" customWidth="1"/>
    <col min="20" max="16384" width="8.88671875" style="1"/>
  </cols>
  <sheetData>
    <row r="2" spans="2:19" s="3" customFormat="1" ht="27" customHeight="1" x14ac:dyDescent="0.3">
      <c r="B2" s="2"/>
      <c r="D2" s="4" t="s">
        <v>15</v>
      </c>
      <c r="E2" s="5"/>
      <c r="F2" s="6"/>
      <c r="H2" s="7"/>
      <c r="I2" s="8"/>
      <c r="J2" s="8"/>
    </row>
    <row r="4" spans="2:19" x14ac:dyDescent="0.3">
      <c r="F4" s="12" t="s">
        <v>2</v>
      </c>
      <c r="G4" s="11"/>
      <c r="H4" s="11"/>
      <c r="K4" s="13" t="s">
        <v>14</v>
      </c>
      <c r="S4" s="23" t="s">
        <v>33</v>
      </c>
    </row>
    <row r="5" spans="2:19" ht="6" customHeight="1" x14ac:dyDescent="0.3"/>
    <row r="6" spans="2:19" x14ac:dyDescent="0.3">
      <c r="D6" s="10" t="s">
        <v>0</v>
      </c>
      <c r="E6" s="10" t="s">
        <v>1</v>
      </c>
      <c r="F6" s="10" t="s">
        <v>3</v>
      </c>
      <c r="G6" s="10" t="s">
        <v>4</v>
      </c>
      <c r="H6" s="10" t="s">
        <v>5</v>
      </c>
      <c r="I6" s="10" t="s">
        <v>6</v>
      </c>
      <c r="J6" s="10" t="s">
        <v>24</v>
      </c>
      <c r="K6" s="15" t="s">
        <v>8</v>
      </c>
      <c r="L6" s="15" t="s">
        <v>9</v>
      </c>
      <c r="M6" s="15" t="s">
        <v>10</v>
      </c>
      <c r="N6" s="15" t="s">
        <v>7</v>
      </c>
      <c r="O6" s="15" t="s">
        <v>25</v>
      </c>
      <c r="P6" s="15" t="s">
        <v>11</v>
      </c>
      <c r="Q6" s="15" t="s">
        <v>12</v>
      </c>
      <c r="R6" s="15" t="s">
        <v>51</v>
      </c>
      <c r="S6" s="15" t="s">
        <v>13</v>
      </c>
    </row>
    <row r="7" spans="2:19" ht="15.6" x14ac:dyDescent="0.3">
      <c r="D7" s="10" t="s">
        <v>52</v>
      </c>
      <c r="E7" s="10" t="s">
        <v>73</v>
      </c>
      <c r="F7" s="10"/>
      <c r="G7" s="10"/>
      <c r="H7" s="10"/>
      <c r="I7" s="17">
        <v>5</v>
      </c>
      <c r="J7" s="18">
        <v>18</v>
      </c>
      <c r="K7" s="20">
        <f>SUMIFS(Tab_Entradas[QTD ENT],Tab_Entradas[COD_ITEM],Tab_Produtos[[#This Row],[COD_ITEM]])</f>
        <v>0</v>
      </c>
      <c r="L7" s="20">
        <f>SUMIFS(Tab_Saídas[QTD SAI],Tab_Saídas[COD_ITEM],Tab_Produtos[[#This Row],[COD_ITEM]])</f>
        <v>1</v>
      </c>
      <c r="M7" s="20">
        <f>SUMIFS(Tab_Ajustes[QTD AJS],Tab_Ajustes[COD_ITEM],Tab_Produtos[[#This Row],[COD_ITEM]])</f>
        <v>0</v>
      </c>
      <c r="N7" s="33">
        <f>Tab_Produtos[[#This Row],[EST. INI]]+Tab_Produtos[[#This Row],[ENTR]]-Tab_Produtos[[#This Row],[SAÍD]]+Tab_Produtos[[#This Row],[AJS]]</f>
        <v>4</v>
      </c>
      <c r="O7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18</v>
      </c>
      <c r="P7" s="14" t="str">
        <f>IF(Tab_Produtos[[#This Row],[ENTR]]=0,"",INT(_xlfn.MAXIFS(Tab_Entradas[DT HR ENT],Tab_Entradas[COD_ITEM],Tab_Produtos[[#This Row],[COD_ITEM]])))</f>
        <v/>
      </c>
      <c r="Q7" s="14">
        <f>IF(Tab_Produtos[[#This Row],[SAÍD]]=0,"",INT(_xlfn.MAXIFS(Tab_Saídas[DT HR SAI],Tab_Saídas[COD_ITEM],Tab_Produtos[[#This Row],[COD_ITEM]])))</f>
        <v>46242</v>
      </c>
      <c r="R7" s="14" t="str">
        <f>IF(Tab_Produtos[[#This Row],[AJS]]=0,"",INT(_xlfn.MAXIFS(Tab_Ajustes[DT HR CONT],Tab_Ajustes[COD_ITEM],Tab_Produtos[[#This Row],[COD_ITEM]])))</f>
        <v/>
      </c>
      <c r="S7" s="22" t="str">
        <f ca="1">IFERROR(TODAY()-IF($S$4="Entrada",Tab_Produtos[[#This Row],[ÚLT. ENTR]],IF($S$4="Saída",Tab_Produtos[[#This Row],[ÚLT. SAÍD]],MAX(Tab_Produtos[[#This Row],[ÚLT. ENTR]],Tab_Produtos[[#This Row],[ÚLT. SAÍD]]))),"")</f>
        <v/>
      </c>
    </row>
    <row r="8" spans="2:19" ht="15.6" x14ac:dyDescent="0.3">
      <c r="D8" s="10" t="s">
        <v>53</v>
      </c>
      <c r="E8" s="10" t="s">
        <v>74</v>
      </c>
      <c r="F8" s="10"/>
      <c r="G8" s="10"/>
      <c r="H8" s="10"/>
      <c r="I8" s="17">
        <v>5</v>
      </c>
      <c r="J8" s="18">
        <v>18</v>
      </c>
      <c r="K8" s="20">
        <f>SUMIFS(Tab_Entradas[QTD ENT],Tab_Entradas[COD_ITEM],Tab_Produtos[[#This Row],[COD_ITEM]])</f>
        <v>0</v>
      </c>
      <c r="L8" s="20">
        <f>SUMIFS(Tab_Saídas[QTD SAI],Tab_Saídas[COD_ITEM],Tab_Produtos[[#This Row],[COD_ITEM]])</f>
        <v>1</v>
      </c>
      <c r="M8" s="20">
        <f>SUMIFS(Tab_Ajustes[QTD AJS],Tab_Ajustes[COD_ITEM],Tab_Produtos[[#This Row],[COD_ITEM]])</f>
        <v>0</v>
      </c>
      <c r="N8" s="33">
        <f>Tab_Produtos[[#This Row],[EST. INI]]+Tab_Produtos[[#This Row],[ENTR]]-Tab_Produtos[[#This Row],[SAÍD]]+Tab_Produtos[[#This Row],[AJS]]</f>
        <v>4</v>
      </c>
      <c r="O8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18</v>
      </c>
      <c r="P8" s="14" t="str">
        <f>IF(Tab_Produtos[[#This Row],[ENTR]]=0,"",INT(_xlfn.MAXIFS(Tab_Entradas[DT HR ENT],Tab_Entradas[COD_ITEM],Tab_Produtos[[#This Row],[COD_ITEM]])))</f>
        <v/>
      </c>
      <c r="Q8" s="14">
        <f>IF(Tab_Produtos[[#This Row],[SAÍD]]=0,"",INT(_xlfn.MAXIFS(Tab_Saídas[DT HR SAI],Tab_Saídas[COD_ITEM],Tab_Produtos[[#This Row],[COD_ITEM]])))</f>
        <v>46241</v>
      </c>
      <c r="R8" s="14" t="str">
        <f>IF(Tab_Produtos[[#This Row],[AJS]]=0,"",INT(_xlfn.MAXIFS(Tab_Ajustes[DT HR CONT],Tab_Ajustes[COD_ITEM],Tab_Produtos[[#This Row],[COD_ITEM]])))</f>
        <v/>
      </c>
      <c r="S8" s="22" t="str">
        <f ca="1">IFERROR(TODAY()-IF($S$4="Entrada",Tab_Produtos[[#This Row],[ÚLT. ENTR]],IF($S$4="Saída",Tab_Produtos[[#This Row],[ÚLT. SAÍD]],MAX(Tab_Produtos[[#This Row],[ÚLT. ENTR]],Tab_Produtos[[#This Row],[ÚLT. SAÍD]]))),"")</f>
        <v/>
      </c>
    </row>
    <row r="9" spans="2:19" ht="15.6" x14ac:dyDescent="0.3">
      <c r="D9" s="10" t="s">
        <v>54</v>
      </c>
      <c r="E9" s="10" t="s">
        <v>75</v>
      </c>
      <c r="F9" s="10"/>
      <c r="G9" s="10"/>
      <c r="H9" s="10"/>
      <c r="I9" s="17">
        <v>10</v>
      </c>
      <c r="J9" s="18">
        <v>18</v>
      </c>
      <c r="K9" s="20">
        <f>SUMIFS(Tab_Entradas[QTD ENT],Tab_Entradas[COD_ITEM],Tab_Produtos[[#This Row],[COD_ITEM]])</f>
        <v>7</v>
      </c>
      <c r="L9" s="20">
        <f>SUMIFS(Tab_Saídas[QTD SAI],Tab_Saídas[COD_ITEM],Tab_Produtos[[#This Row],[COD_ITEM]])</f>
        <v>4</v>
      </c>
      <c r="M9" s="20">
        <f>SUMIFS(Tab_Ajustes[QTD AJS],Tab_Ajustes[COD_ITEM],Tab_Produtos[[#This Row],[COD_ITEM]])</f>
        <v>0</v>
      </c>
      <c r="N9" s="33">
        <f>Tab_Produtos[[#This Row],[EST. INI]]+Tab_Produtos[[#This Row],[ENTR]]-Tab_Produtos[[#This Row],[SAÍD]]+Tab_Produtos[[#This Row],[AJS]]</f>
        <v>13</v>
      </c>
      <c r="O9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18</v>
      </c>
      <c r="P9" s="14">
        <f>IF(Tab_Produtos[[#This Row],[ENTR]]=0,"",INT(_xlfn.MAXIFS(Tab_Entradas[DT HR ENT],Tab_Entradas[COD_ITEM],Tab_Produtos[[#This Row],[COD_ITEM]])))</f>
        <v>46242</v>
      </c>
      <c r="Q9" s="14">
        <f>IF(Tab_Produtos[[#This Row],[SAÍD]]=0,"",INT(_xlfn.MAXIFS(Tab_Saídas[DT HR SAI],Tab_Saídas[COD_ITEM],Tab_Produtos[[#This Row],[COD_ITEM]])))</f>
        <v>46241</v>
      </c>
      <c r="R9" s="14" t="str">
        <f>IF(Tab_Produtos[[#This Row],[AJS]]=0,"",INT(_xlfn.MAXIFS(Tab_Ajustes[DT HR CONT],Tab_Ajustes[COD_ITEM],Tab_Produtos[[#This Row],[COD_ITEM]])))</f>
        <v/>
      </c>
      <c r="S9" s="22">
        <f ca="1">IFERROR(TODAY()-IF($S$4="Entrada",Tab_Produtos[[#This Row],[ÚLT. ENTR]],IF($S$4="Saída",Tab_Produtos[[#This Row],[ÚLT. SAÍD]],MAX(Tab_Produtos[[#This Row],[ÚLT. ENTR]],Tab_Produtos[[#This Row],[ÚLT. SAÍD]]))),"")</f>
        <v>3</v>
      </c>
    </row>
    <row r="10" spans="2:19" ht="15.6" x14ac:dyDescent="0.3">
      <c r="D10" s="10" t="s">
        <v>55</v>
      </c>
      <c r="E10" s="10" t="s">
        <v>76</v>
      </c>
      <c r="F10" s="10"/>
      <c r="G10" s="10"/>
      <c r="H10" s="10"/>
      <c r="I10" s="17">
        <v>5</v>
      </c>
      <c r="J10" s="18">
        <v>18</v>
      </c>
      <c r="K10" s="20">
        <f>SUMIFS(Tab_Entradas[QTD ENT],Tab_Entradas[COD_ITEM],Tab_Produtos[[#This Row],[COD_ITEM]])</f>
        <v>0</v>
      </c>
      <c r="L10" s="20">
        <f>SUMIFS(Tab_Saídas[QTD SAI],Tab_Saídas[COD_ITEM],Tab_Produtos[[#This Row],[COD_ITEM]])</f>
        <v>1</v>
      </c>
      <c r="M10" s="20">
        <f>SUMIFS(Tab_Ajustes[QTD AJS],Tab_Ajustes[COD_ITEM],Tab_Produtos[[#This Row],[COD_ITEM]])</f>
        <v>0</v>
      </c>
      <c r="N10" s="33">
        <f>Tab_Produtos[[#This Row],[EST. INI]]+Tab_Produtos[[#This Row],[ENTR]]-Tab_Produtos[[#This Row],[SAÍD]]+Tab_Produtos[[#This Row],[AJS]]</f>
        <v>4</v>
      </c>
      <c r="O10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18</v>
      </c>
      <c r="P10" s="14" t="str">
        <f>IF(Tab_Produtos[[#This Row],[ENTR]]=0,"",INT(_xlfn.MAXIFS(Tab_Entradas[DT HR ENT],Tab_Entradas[COD_ITEM],Tab_Produtos[[#This Row],[COD_ITEM]])))</f>
        <v/>
      </c>
      <c r="Q10" s="14">
        <f>IF(Tab_Produtos[[#This Row],[SAÍD]]=0,"",INT(_xlfn.MAXIFS(Tab_Saídas[DT HR SAI],Tab_Saídas[COD_ITEM],Tab_Produtos[[#This Row],[COD_ITEM]])))</f>
        <v>46243</v>
      </c>
      <c r="R10" s="14" t="str">
        <f>IF(Tab_Produtos[[#This Row],[AJS]]=0,"",INT(_xlfn.MAXIFS(Tab_Ajustes[DT HR CONT],Tab_Ajustes[COD_ITEM],Tab_Produtos[[#This Row],[COD_ITEM]])))</f>
        <v/>
      </c>
      <c r="S10" s="22" t="str">
        <f ca="1">IFERROR(TODAY()-IF($S$4="Entrada",Tab_Produtos[[#This Row],[ÚLT. ENTR]],IF($S$4="Saída",Tab_Produtos[[#This Row],[ÚLT. SAÍD]],MAX(Tab_Produtos[[#This Row],[ÚLT. ENTR]],Tab_Produtos[[#This Row],[ÚLT. SAÍD]]))),"")</f>
        <v/>
      </c>
    </row>
    <row r="11" spans="2:19" ht="15.6" x14ac:dyDescent="0.3">
      <c r="D11" s="10" t="s">
        <v>56</v>
      </c>
      <c r="E11" s="10" t="s">
        <v>77</v>
      </c>
      <c r="F11" s="10"/>
      <c r="G11" s="10"/>
      <c r="H11" s="10"/>
      <c r="I11" s="17">
        <v>5</v>
      </c>
      <c r="J11" s="18">
        <v>18</v>
      </c>
      <c r="K11" s="20">
        <f>SUMIFS(Tab_Entradas[QTD ENT],Tab_Entradas[COD_ITEM],Tab_Produtos[[#This Row],[COD_ITEM]])</f>
        <v>0</v>
      </c>
      <c r="L11" s="20">
        <f>SUMIFS(Tab_Saídas[QTD SAI],Tab_Saídas[COD_ITEM],Tab_Produtos[[#This Row],[COD_ITEM]])</f>
        <v>1</v>
      </c>
      <c r="M11" s="20">
        <f>SUMIFS(Tab_Ajustes[QTD AJS],Tab_Ajustes[COD_ITEM],Tab_Produtos[[#This Row],[COD_ITEM]])</f>
        <v>0</v>
      </c>
      <c r="N11" s="33">
        <f>Tab_Produtos[[#This Row],[EST. INI]]+Tab_Produtos[[#This Row],[ENTR]]-Tab_Produtos[[#This Row],[SAÍD]]+Tab_Produtos[[#This Row],[AJS]]</f>
        <v>4</v>
      </c>
      <c r="O11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18</v>
      </c>
      <c r="P11" s="14" t="str">
        <f>IF(Tab_Produtos[[#This Row],[ENTR]]=0,"",INT(_xlfn.MAXIFS(Tab_Entradas[DT HR ENT],Tab_Entradas[COD_ITEM],Tab_Produtos[[#This Row],[COD_ITEM]])))</f>
        <v/>
      </c>
      <c r="Q11" s="14">
        <f>IF(Tab_Produtos[[#This Row],[SAÍD]]=0,"",INT(_xlfn.MAXIFS(Tab_Saídas[DT HR SAI],Tab_Saídas[COD_ITEM],Tab_Produtos[[#This Row],[COD_ITEM]])))</f>
        <v>46241</v>
      </c>
      <c r="R11" s="14" t="str">
        <f>IF(Tab_Produtos[[#This Row],[AJS]]=0,"",INT(_xlfn.MAXIFS(Tab_Ajustes[DT HR CONT],Tab_Ajustes[COD_ITEM],Tab_Produtos[[#This Row],[COD_ITEM]])))</f>
        <v/>
      </c>
      <c r="S11" s="22" t="str">
        <f ca="1">IFERROR(TODAY()-IF($S$4="Entrada",Tab_Produtos[[#This Row],[ÚLT. ENTR]],IF($S$4="Saída",Tab_Produtos[[#This Row],[ÚLT. SAÍD]],MAX(Tab_Produtos[[#This Row],[ÚLT. ENTR]],Tab_Produtos[[#This Row],[ÚLT. SAÍD]]))),"")</f>
        <v/>
      </c>
    </row>
    <row r="12" spans="2:19" ht="15.6" x14ac:dyDescent="0.3">
      <c r="D12" s="10" t="s">
        <v>57</v>
      </c>
      <c r="E12" s="10" t="s">
        <v>78</v>
      </c>
      <c r="F12" s="10"/>
      <c r="G12" s="10"/>
      <c r="H12" s="10"/>
      <c r="I12" s="17">
        <v>9</v>
      </c>
      <c r="J12" s="18">
        <v>18</v>
      </c>
      <c r="K12" s="20">
        <f>SUMIFS(Tab_Entradas[QTD ENT],Tab_Entradas[COD_ITEM],Tab_Produtos[[#This Row],[COD_ITEM]])</f>
        <v>0</v>
      </c>
      <c r="L12" s="20">
        <f>SUMIFS(Tab_Saídas[QTD SAI],Tab_Saídas[COD_ITEM],Tab_Produtos[[#This Row],[COD_ITEM]])</f>
        <v>4</v>
      </c>
      <c r="M12" s="20">
        <f>SUMIFS(Tab_Ajustes[QTD AJS],Tab_Ajustes[COD_ITEM],Tab_Produtos[[#This Row],[COD_ITEM]])</f>
        <v>0</v>
      </c>
      <c r="N12" s="33">
        <f>Tab_Produtos[[#This Row],[EST. INI]]+Tab_Produtos[[#This Row],[ENTR]]-Tab_Produtos[[#This Row],[SAÍD]]+Tab_Produtos[[#This Row],[AJS]]</f>
        <v>5</v>
      </c>
      <c r="O12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18</v>
      </c>
      <c r="P12" s="14" t="str">
        <f>IF(Tab_Produtos[[#This Row],[ENTR]]=0,"",INT(_xlfn.MAXIFS(Tab_Entradas[DT HR ENT],Tab_Entradas[COD_ITEM],Tab_Produtos[[#This Row],[COD_ITEM]])))</f>
        <v/>
      </c>
      <c r="Q12" s="14">
        <f>IF(Tab_Produtos[[#This Row],[SAÍD]]=0,"",INT(_xlfn.MAXIFS(Tab_Saídas[DT HR SAI],Tab_Saídas[COD_ITEM],Tab_Produtos[[#This Row],[COD_ITEM]])))</f>
        <v>46244</v>
      </c>
      <c r="R12" s="14" t="str">
        <f>IF(Tab_Produtos[[#This Row],[AJS]]=0,"",INT(_xlfn.MAXIFS(Tab_Ajustes[DT HR CONT],Tab_Ajustes[COD_ITEM],Tab_Produtos[[#This Row],[COD_ITEM]])))</f>
        <v/>
      </c>
      <c r="S12" s="22" t="str">
        <f ca="1">IFERROR(TODAY()-IF($S$4="Entrada",Tab_Produtos[[#This Row],[ÚLT. ENTR]],IF($S$4="Saída",Tab_Produtos[[#This Row],[ÚLT. SAÍD]],MAX(Tab_Produtos[[#This Row],[ÚLT. ENTR]],Tab_Produtos[[#This Row],[ÚLT. SAÍD]]))),"")</f>
        <v/>
      </c>
    </row>
    <row r="13" spans="2:19" ht="15.6" x14ac:dyDescent="0.3">
      <c r="D13" s="10" t="s">
        <v>58</v>
      </c>
      <c r="E13" s="10" t="s">
        <v>79</v>
      </c>
      <c r="F13" s="10"/>
      <c r="G13" s="10"/>
      <c r="H13" s="10"/>
      <c r="I13" s="17">
        <v>10</v>
      </c>
      <c r="J13" s="18">
        <v>23</v>
      </c>
      <c r="K13" s="20">
        <f>SUMIFS(Tab_Entradas[QTD ENT],Tab_Entradas[COD_ITEM],Tab_Produtos[[#This Row],[COD_ITEM]])</f>
        <v>0</v>
      </c>
      <c r="L13" s="20">
        <f>SUMIFS(Tab_Saídas[QTD SAI],Tab_Saídas[COD_ITEM],Tab_Produtos[[#This Row],[COD_ITEM]])</f>
        <v>2</v>
      </c>
      <c r="M13" s="20">
        <f>SUMIFS(Tab_Ajustes[QTD AJS],Tab_Ajustes[COD_ITEM],Tab_Produtos[[#This Row],[COD_ITEM]])</f>
        <v>0</v>
      </c>
      <c r="N13" s="33">
        <f>Tab_Produtos[[#This Row],[EST. INI]]+Tab_Produtos[[#This Row],[ENTR]]-Tab_Produtos[[#This Row],[SAÍD]]+Tab_Produtos[[#This Row],[AJS]]</f>
        <v>8</v>
      </c>
      <c r="O13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23</v>
      </c>
      <c r="P13" s="14" t="str">
        <f>IF(Tab_Produtos[[#This Row],[ENTR]]=0,"",INT(_xlfn.MAXIFS(Tab_Entradas[DT HR ENT],Tab_Entradas[COD_ITEM],Tab_Produtos[[#This Row],[COD_ITEM]])))</f>
        <v/>
      </c>
      <c r="Q13" s="14">
        <f>IF(Tab_Produtos[[#This Row],[SAÍD]]=0,"",INT(_xlfn.MAXIFS(Tab_Saídas[DT HR SAI],Tab_Saídas[COD_ITEM],Tab_Produtos[[#This Row],[COD_ITEM]])))</f>
        <v>46241</v>
      </c>
      <c r="R13" s="14" t="str">
        <f>IF(Tab_Produtos[[#This Row],[AJS]]=0,"",INT(_xlfn.MAXIFS(Tab_Ajustes[DT HR CONT],Tab_Ajustes[COD_ITEM],Tab_Produtos[[#This Row],[COD_ITEM]])))</f>
        <v/>
      </c>
      <c r="S13" s="22" t="str">
        <f ca="1">IFERROR(TODAY()-IF($S$4="Entrada",Tab_Produtos[[#This Row],[ÚLT. ENTR]],IF($S$4="Saída",Tab_Produtos[[#This Row],[ÚLT. SAÍD]],MAX(Tab_Produtos[[#This Row],[ÚLT. ENTR]],Tab_Produtos[[#This Row],[ÚLT. SAÍD]]))),"")</f>
        <v/>
      </c>
    </row>
    <row r="14" spans="2:19" ht="15.6" x14ac:dyDescent="0.3">
      <c r="D14" s="10" t="s">
        <v>59</v>
      </c>
      <c r="E14" s="10" t="s">
        <v>80</v>
      </c>
      <c r="F14" s="10"/>
      <c r="G14" s="10"/>
      <c r="H14" s="10"/>
      <c r="I14" s="17">
        <v>1</v>
      </c>
      <c r="J14" s="18">
        <v>23</v>
      </c>
      <c r="K14" s="20">
        <f>SUMIFS(Tab_Entradas[QTD ENT],Tab_Entradas[COD_ITEM],Tab_Produtos[[#This Row],[COD_ITEM]])</f>
        <v>5</v>
      </c>
      <c r="L14" s="20">
        <f>SUMIFS(Tab_Saídas[QTD SAI],Tab_Saídas[COD_ITEM],Tab_Produtos[[#This Row],[COD_ITEM]])</f>
        <v>2</v>
      </c>
      <c r="M14" s="20">
        <f>SUMIFS(Tab_Ajustes[QTD AJS],Tab_Ajustes[COD_ITEM],Tab_Produtos[[#This Row],[COD_ITEM]])</f>
        <v>0</v>
      </c>
      <c r="N14" s="33">
        <f>Tab_Produtos[[#This Row],[EST. INI]]+Tab_Produtos[[#This Row],[ENTR]]-Tab_Produtos[[#This Row],[SAÍD]]+Tab_Produtos[[#This Row],[AJS]]</f>
        <v>4</v>
      </c>
      <c r="O14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23</v>
      </c>
      <c r="P14" s="14">
        <f>IF(Tab_Produtos[[#This Row],[ENTR]]=0,"",INT(_xlfn.MAXIFS(Tab_Entradas[DT HR ENT],Tab_Entradas[COD_ITEM],Tab_Produtos[[#This Row],[COD_ITEM]])))</f>
        <v>46242</v>
      </c>
      <c r="Q14" s="14">
        <f>IF(Tab_Produtos[[#This Row],[SAÍD]]=0,"",INT(_xlfn.MAXIFS(Tab_Saídas[DT HR SAI],Tab_Saídas[COD_ITEM],Tab_Produtos[[#This Row],[COD_ITEM]])))</f>
        <v>46242</v>
      </c>
      <c r="R14" s="14" t="str">
        <f>IF(Tab_Produtos[[#This Row],[AJS]]=0,"",INT(_xlfn.MAXIFS(Tab_Ajustes[DT HR CONT],Tab_Ajustes[COD_ITEM],Tab_Produtos[[#This Row],[COD_ITEM]])))</f>
        <v/>
      </c>
      <c r="S14" s="22">
        <f ca="1">IFERROR(TODAY()-IF($S$4="Entrada",Tab_Produtos[[#This Row],[ÚLT. ENTR]],IF($S$4="Saída",Tab_Produtos[[#This Row],[ÚLT. SAÍD]],MAX(Tab_Produtos[[#This Row],[ÚLT. ENTR]],Tab_Produtos[[#This Row],[ÚLT. SAÍD]]))),"")</f>
        <v>3</v>
      </c>
    </row>
    <row r="15" spans="2:19" ht="15.6" x14ac:dyDescent="0.3">
      <c r="D15" s="10" t="s">
        <v>60</v>
      </c>
      <c r="E15" s="10" t="s">
        <v>81</v>
      </c>
      <c r="F15" s="10"/>
      <c r="G15" s="10"/>
      <c r="H15" s="10"/>
      <c r="I15" s="17">
        <v>10</v>
      </c>
      <c r="J15" s="18">
        <v>23</v>
      </c>
      <c r="K15" s="20">
        <f>SUMIFS(Tab_Entradas[QTD ENT],Tab_Entradas[COD_ITEM],Tab_Produtos[[#This Row],[COD_ITEM]])</f>
        <v>0</v>
      </c>
      <c r="L15" s="20">
        <f>SUMIFS(Tab_Saídas[QTD SAI],Tab_Saídas[COD_ITEM],Tab_Produtos[[#This Row],[COD_ITEM]])</f>
        <v>2</v>
      </c>
      <c r="M15" s="20">
        <f>SUMIFS(Tab_Ajustes[QTD AJS],Tab_Ajustes[COD_ITEM],Tab_Produtos[[#This Row],[COD_ITEM]])</f>
        <v>0</v>
      </c>
      <c r="N15" s="33">
        <f>Tab_Produtos[[#This Row],[EST. INI]]+Tab_Produtos[[#This Row],[ENTR]]-Tab_Produtos[[#This Row],[SAÍD]]+Tab_Produtos[[#This Row],[AJS]]</f>
        <v>8</v>
      </c>
      <c r="O15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23</v>
      </c>
      <c r="P15" s="14" t="str">
        <f>IF(Tab_Produtos[[#This Row],[ENTR]]=0,"",INT(_xlfn.MAXIFS(Tab_Entradas[DT HR ENT],Tab_Entradas[COD_ITEM],Tab_Produtos[[#This Row],[COD_ITEM]])))</f>
        <v/>
      </c>
      <c r="Q15" s="14">
        <f>IF(Tab_Produtos[[#This Row],[SAÍD]]=0,"",INT(_xlfn.MAXIFS(Tab_Saídas[DT HR SAI],Tab_Saídas[COD_ITEM],Tab_Produtos[[#This Row],[COD_ITEM]])))</f>
        <v>46241</v>
      </c>
      <c r="R15" s="14" t="str">
        <f>IF(Tab_Produtos[[#This Row],[AJS]]=0,"",INT(_xlfn.MAXIFS(Tab_Ajustes[DT HR CONT],Tab_Ajustes[COD_ITEM],Tab_Produtos[[#This Row],[COD_ITEM]])))</f>
        <v/>
      </c>
      <c r="S15" s="22" t="str">
        <f ca="1">IFERROR(TODAY()-IF($S$4="Entrada",Tab_Produtos[[#This Row],[ÚLT. ENTR]],IF($S$4="Saída",Tab_Produtos[[#This Row],[ÚLT. SAÍD]],MAX(Tab_Produtos[[#This Row],[ÚLT. ENTR]],Tab_Produtos[[#This Row],[ÚLT. SAÍD]]))),"")</f>
        <v/>
      </c>
    </row>
    <row r="16" spans="2:19" ht="15.6" x14ac:dyDescent="0.3">
      <c r="D16" s="10" t="s">
        <v>61</v>
      </c>
      <c r="E16" s="10" t="s">
        <v>82</v>
      </c>
      <c r="F16" s="10"/>
      <c r="G16" s="10"/>
      <c r="H16" s="10"/>
      <c r="I16" s="17">
        <v>10</v>
      </c>
      <c r="J16" s="18">
        <v>20</v>
      </c>
      <c r="K16" s="20">
        <f>SUMIFS(Tab_Entradas[QTD ENT],Tab_Entradas[COD_ITEM],Tab_Produtos[[#This Row],[COD_ITEM]])</f>
        <v>0</v>
      </c>
      <c r="L16" s="20">
        <f>SUMIFS(Tab_Saídas[QTD SAI],Tab_Saídas[COD_ITEM],Tab_Produtos[[#This Row],[COD_ITEM]])</f>
        <v>2</v>
      </c>
      <c r="M16" s="20">
        <f>SUMIFS(Tab_Ajustes[QTD AJS],Tab_Ajustes[COD_ITEM],Tab_Produtos[[#This Row],[COD_ITEM]])</f>
        <v>0</v>
      </c>
      <c r="N16" s="33">
        <f>Tab_Produtos[[#This Row],[EST. INI]]+Tab_Produtos[[#This Row],[ENTR]]-Tab_Produtos[[#This Row],[SAÍD]]+Tab_Produtos[[#This Row],[AJS]]</f>
        <v>8</v>
      </c>
      <c r="O16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20</v>
      </c>
      <c r="P16" s="14" t="str">
        <f>IF(Tab_Produtos[[#This Row],[ENTR]]=0,"",INT(_xlfn.MAXIFS(Tab_Entradas[DT HR ENT],Tab_Entradas[COD_ITEM],Tab_Produtos[[#This Row],[COD_ITEM]])))</f>
        <v/>
      </c>
      <c r="Q16" s="14">
        <f>IF(Tab_Produtos[[#This Row],[SAÍD]]=0,"",INT(_xlfn.MAXIFS(Tab_Saídas[DT HR SAI],Tab_Saídas[COD_ITEM],Tab_Produtos[[#This Row],[COD_ITEM]])))</f>
        <v>46241</v>
      </c>
      <c r="R16" s="14" t="str">
        <f>IF(Tab_Produtos[[#This Row],[AJS]]=0,"",INT(_xlfn.MAXIFS(Tab_Ajustes[DT HR CONT],Tab_Ajustes[COD_ITEM],Tab_Produtos[[#This Row],[COD_ITEM]])))</f>
        <v/>
      </c>
      <c r="S16" s="22" t="str">
        <f ca="1">IFERROR(TODAY()-IF($S$4="Entrada",Tab_Produtos[[#This Row],[ÚLT. ENTR]],IF($S$4="Saída",Tab_Produtos[[#This Row],[ÚLT. SAÍD]],MAX(Tab_Produtos[[#This Row],[ÚLT. ENTR]],Tab_Produtos[[#This Row],[ÚLT. SAÍD]]))),"")</f>
        <v/>
      </c>
    </row>
    <row r="17" spans="4:19" ht="15.6" x14ac:dyDescent="0.3">
      <c r="D17" s="10" t="s">
        <v>62</v>
      </c>
      <c r="E17" s="10" t="s">
        <v>83</v>
      </c>
      <c r="F17" s="10"/>
      <c r="G17" s="10"/>
      <c r="H17" s="10"/>
      <c r="I17" s="17">
        <v>10</v>
      </c>
      <c r="J17" s="18">
        <v>43</v>
      </c>
      <c r="K17" s="20">
        <f>SUMIFS(Tab_Entradas[QTD ENT],Tab_Entradas[COD_ITEM],Tab_Produtos[[#This Row],[COD_ITEM]])</f>
        <v>0</v>
      </c>
      <c r="L17" s="20">
        <f>SUMIFS(Tab_Saídas[QTD SAI],Tab_Saídas[COD_ITEM],Tab_Produtos[[#This Row],[COD_ITEM]])</f>
        <v>7</v>
      </c>
      <c r="M17" s="20">
        <f>SUMIFS(Tab_Ajustes[QTD AJS],Tab_Ajustes[COD_ITEM],Tab_Produtos[[#This Row],[COD_ITEM]])</f>
        <v>0</v>
      </c>
      <c r="N17" s="33">
        <f>Tab_Produtos[[#This Row],[EST. INI]]+Tab_Produtos[[#This Row],[ENTR]]-Tab_Produtos[[#This Row],[SAÍD]]+Tab_Produtos[[#This Row],[AJS]]</f>
        <v>3</v>
      </c>
      <c r="O17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43</v>
      </c>
      <c r="P17" s="14" t="str">
        <f>IF(Tab_Produtos[[#This Row],[ENTR]]=0,"",INT(_xlfn.MAXIFS(Tab_Entradas[DT HR ENT],Tab_Entradas[COD_ITEM],Tab_Produtos[[#This Row],[COD_ITEM]])))</f>
        <v/>
      </c>
      <c r="Q17" s="14">
        <f>IF(Tab_Produtos[[#This Row],[SAÍD]]=0,"",INT(_xlfn.MAXIFS(Tab_Saídas[DT HR SAI],Tab_Saídas[COD_ITEM],Tab_Produtos[[#This Row],[COD_ITEM]])))</f>
        <v>46244</v>
      </c>
      <c r="R17" s="14" t="str">
        <f>IF(Tab_Produtos[[#This Row],[AJS]]=0,"",INT(_xlfn.MAXIFS(Tab_Ajustes[DT HR CONT],Tab_Ajustes[COD_ITEM],Tab_Produtos[[#This Row],[COD_ITEM]])))</f>
        <v/>
      </c>
      <c r="S17" s="22" t="str">
        <f ca="1">IFERROR(TODAY()-IF($S$4="Entrada",Tab_Produtos[[#This Row],[ÚLT. ENTR]],IF($S$4="Saída",Tab_Produtos[[#This Row],[ÚLT. SAÍD]],MAX(Tab_Produtos[[#This Row],[ÚLT. ENTR]],Tab_Produtos[[#This Row],[ÚLT. SAÍD]]))),"")</f>
        <v/>
      </c>
    </row>
    <row r="18" spans="4:19" ht="15.6" x14ac:dyDescent="0.3">
      <c r="D18" s="10" t="s">
        <v>63</v>
      </c>
      <c r="E18" s="10" t="s">
        <v>84</v>
      </c>
      <c r="F18" s="10"/>
      <c r="G18" s="10"/>
      <c r="H18" s="10"/>
      <c r="I18" s="17">
        <v>10</v>
      </c>
      <c r="J18" s="18">
        <v>23</v>
      </c>
      <c r="K18" s="20">
        <f>SUMIFS(Tab_Entradas[QTD ENT],Tab_Entradas[COD_ITEM],Tab_Produtos[[#This Row],[COD_ITEM]])</f>
        <v>0</v>
      </c>
      <c r="L18" s="20">
        <f>SUMIFS(Tab_Saídas[QTD SAI],Tab_Saídas[COD_ITEM],Tab_Produtos[[#This Row],[COD_ITEM]])</f>
        <v>4</v>
      </c>
      <c r="M18" s="20">
        <f>SUMIFS(Tab_Ajustes[QTD AJS],Tab_Ajustes[COD_ITEM],Tab_Produtos[[#This Row],[COD_ITEM]])</f>
        <v>0</v>
      </c>
      <c r="N18" s="33">
        <f>Tab_Produtos[[#This Row],[EST. INI]]+Tab_Produtos[[#This Row],[ENTR]]-Tab_Produtos[[#This Row],[SAÍD]]+Tab_Produtos[[#This Row],[AJS]]</f>
        <v>6</v>
      </c>
      <c r="O18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23</v>
      </c>
      <c r="P18" s="14" t="str">
        <f>IF(Tab_Produtos[[#This Row],[ENTR]]=0,"",INT(_xlfn.MAXIFS(Tab_Entradas[DT HR ENT],Tab_Entradas[COD_ITEM],Tab_Produtos[[#This Row],[COD_ITEM]])))</f>
        <v/>
      </c>
      <c r="Q18" s="14">
        <f>IF(Tab_Produtos[[#This Row],[SAÍD]]=0,"",INT(_xlfn.MAXIFS(Tab_Saídas[DT HR SAI],Tab_Saídas[COD_ITEM],Tab_Produtos[[#This Row],[COD_ITEM]])))</f>
        <v>46243</v>
      </c>
      <c r="R18" s="14" t="str">
        <f>IF(Tab_Produtos[[#This Row],[AJS]]=0,"",INT(_xlfn.MAXIFS(Tab_Ajustes[DT HR CONT],Tab_Ajustes[COD_ITEM],Tab_Produtos[[#This Row],[COD_ITEM]])))</f>
        <v/>
      </c>
      <c r="S18" s="22" t="str">
        <f ca="1">IFERROR(TODAY()-IF($S$4="Entrada",Tab_Produtos[[#This Row],[ÚLT. ENTR]],IF($S$4="Saída",Tab_Produtos[[#This Row],[ÚLT. SAÍD]],MAX(Tab_Produtos[[#This Row],[ÚLT. ENTR]],Tab_Produtos[[#This Row],[ÚLT. SAÍD]]))),"")</f>
        <v/>
      </c>
    </row>
    <row r="19" spans="4:19" ht="15.6" x14ac:dyDescent="0.3">
      <c r="D19" s="10" t="s">
        <v>64</v>
      </c>
      <c r="E19" s="10" t="s">
        <v>85</v>
      </c>
      <c r="F19" s="10"/>
      <c r="G19" s="10"/>
      <c r="H19" s="10"/>
      <c r="I19" s="17">
        <v>3</v>
      </c>
      <c r="J19" s="18">
        <v>21</v>
      </c>
      <c r="K19" s="20">
        <f>SUMIFS(Tab_Entradas[QTD ENT],Tab_Entradas[COD_ITEM],Tab_Produtos[[#This Row],[COD_ITEM]])</f>
        <v>10</v>
      </c>
      <c r="L19" s="20">
        <f>SUMIFS(Tab_Saídas[QTD SAI],Tab_Saídas[COD_ITEM],Tab_Produtos[[#This Row],[COD_ITEM]])</f>
        <v>4</v>
      </c>
      <c r="M19" s="20">
        <f>SUMIFS(Tab_Ajustes[QTD AJS],Tab_Ajustes[COD_ITEM],Tab_Produtos[[#This Row],[COD_ITEM]])</f>
        <v>0</v>
      </c>
      <c r="N19" s="33">
        <f>Tab_Produtos[[#This Row],[EST. INI]]+Tab_Produtos[[#This Row],[ENTR]]-Tab_Produtos[[#This Row],[SAÍD]]+Tab_Produtos[[#This Row],[AJS]]</f>
        <v>9</v>
      </c>
      <c r="O19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21</v>
      </c>
      <c r="P19" s="14">
        <f>IF(Tab_Produtos[[#This Row],[ENTR]]=0,"",INT(_xlfn.MAXIFS(Tab_Entradas[DT HR ENT],Tab_Entradas[COD_ITEM],Tab_Produtos[[#This Row],[COD_ITEM]])))</f>
        <v>46242</v>
      </c>
      <c r="Q19" s="14">
        <f>IF(Tab_Produtos[[#This Row],[SAÍD]]=0,"",INT(_xlfn.MAXIFS(Tab_Saídas[DT HR SAI],Tab_Saídas[COD_ITEM],Tab_Produtos[[#This Row],[COD_ITEM]])))</f>
        <v>46242</v>
      </c>
      <c r="R19" s="14" t="str">
        <f>IF(Tab_Produtos[[#This Row],[AJS]]=0,"",INT(_xlfn.MAXIFS(Tab_Ajustes[DT HR CONT],Tab_Ajustes[COD_ITEM],Tab_Produtos[[#This Row],[COD_ITEM]])))</f>
        <v/>
      </c>
      <c r="S19" s="22">
        <f ca="1">IFERROR(TODAY()-IF($S$4="Entrada",Tab_Produtos[[#This Row],[ÚLT. ENTR]],IF($S$4="Saída",Tab_Produtos[[#This Row],[ÚLT. SAÍD]],MAX(Tab_Produtos[[#This Row],[ÚLT. ENTR]],Tab_Produtos[[#This Row],[ÚLT. SAÍD]]))),"")</f>
        <v>3</v>
      </c>
    </row>
    <row r="20" spans="4:19" ht="15.6" x14ac:dyDescent="0.3">
      <c r="D20" s="10" t="s">
        <v>65</v>
      </c>
      <c r="E20" s="10" t="s">
        <v>86</v>
      </c>
      <c r="F20" s="10"/>
      <c r="G20" s="10"/>
      <c r="H20" s="10"/>
      <c r="I20" s="17">
        <v>2</v>
      </c>
      <c r="J20" s="18">
        <v>18</v>
      </c>
      <c r="K20" s="20">
        <f>SUMIFS(Tab_Entradas[QTD ENT],Tab_Entradas[COD_ITEM],Tab_Produtos[[#This Row],[COD_ITEM]])</f>
        <v>10</v>
      </c>
      <c r="L20" s="20">
        <f>SUMIFS(Tab_Saídas[QTD SAI],Tab_Saídas[COD_ITEM],Tab_Produtos[[#This Row],[COD_ITEM]])</f>
        <v>2</v>
      </c>
      <c r="M20" s="20">
        <f>SUMIFS(Tab_Ajustes[QTD AJS],Tab_Ajustes[COD_ITEM],Tab_Produtos[[#This Row],[COD_ITEM]])</f>
        <v>0</v>
      </c>
      <c r="N20" s="33">
        <f>Tab_Produtos[[#This Row],[EST. INI]]+Tab_Produtos[[#This Row],[ENTR]]-Tab_Produtos[[#This Row],[SAÍD]]+Tab_Produtos[[#This Row],[AJS]]</f>
        <v>10</v>
      </c>
      <c r="O20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18</v>
      </c>
      <c r="P20" s="14">
        <f>IF(Tab_Produtos[[#This Row],[ENTR]]=0,"",INT(_xlfn.MAXIFS(Tab_Entradas[DT HR ENT],Tab_Entradas[COD_ITEM],Tab_Produtos[[#This Row],[COD_ITEM]])))</f>
        <v>46242</v>
      </c>
      <c r="Q20" s="14">
        <f>IF(Tab_Produtos[[#This Row],[SAÍD]]=0,"",INT(_xlfn.MAXIFS(Tab_Saídas[DT HR SAI],Tab_Saídas[COD_ITEM],Tab_Produtos[[#This Row],[COD_ITEM]])))</f>
        <v>46241</v>
      </c>
      <c r="R20" s="14" t="str">
        <f>IF(Tab_Produtos[[#This Row],[AJS]]=0,"",INT(_xlfn.MAXIFS(Tab_Ajustes[DT HR CONT],Tab_Ajustes[COD_ITEM],Tab_Produtos[[#This Row],[COD_ITEM]])))</f>
        <v/>
      </c>
      <c r="S20" s="22">
        <f ca="1">IFERROR(TODAY()-IF($S$4="Entrada",Tab_Produtos[[#This Row],[ÚLT. ENTR]],IF($S$4="Saída",Tab_Produtos[[#This Row],[ÚLT. SAÍD]],MAX(Tab_Produtos[[#This Row],[ÚLT. ENTR]],Tab_Produtos[[#This Row],[ÚLT. SAÍD]]))),"")</f>
        <v>3</v>
      </c>
    </row>
    <row r="21" spans="4:19" ht="15.6" x14ac:dyDescent="0.3">
      <c r="D21" s="10" t="s">
        <v>66</v>
      </c>
      <c r="E21" s="10" t="s">
        <v>87</v>
      </c>
      <c r="F21" s="10"/>
      <c r="G21" s="10"/>
      <c r="H21" s="10"/>
      <c r="I21" s="17">
        <v>2</v>
      </c>
      <c r="J21" s="18">
        <v>18</v>
      </c>
      <c r="K21" s="20">
        <f>SUMIFS(Tab_Entradas[QTD ENT],Tab_Entradas[COD_ITEM],Tab_Produtos[[#This Row],[COD_ITEM]])</f>
        <v>10</v>
      </c>
      <c r="L21" s="20">
        <f>SUMIFS(Tab_Saídas[QTD SAI],Tab_Saídas[COD_ITEM],Tab_Produtos[[#This Row],[COD_ITEM]])</f>
        <v>1</v>
      </c>
      <c r="M21" s="20">
        <f>SUMIFS(Tab_Ajustes[QTD AJS],Tab_Ajustes[COD_ITEM],Tab_Produtos[[#This Row],[COD_ITEM]])</f>
        <v>0</v>
      </c>
      <c r="N21" s="33">
        <f>Tab_Produtos[[#This Row],[EST. INI]]+Tab_Produtos[[#This Row],[ENTR]]-Tab_Produtos[[#This Row],[SAÍD]]+Tab_Produtos[[#This Row],[AJS]]</f>
        <v>11</v>
      </c>
      <c r="O21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18</v>
      </c>
      <c r="P21" s="14">
        <f>IF(Tab_Produtos[[#This Row],[ENTR]]=0,"",INT(_xlfn.MAXIFS(Tab_Entradas[DT HR ENT],Tab_Entradas[COD_ITEM],Tab_Produtos[[#This Row],[COD_ITEM]])))</f>
        <v>46242</v>
      </c>
      <c r="Q21" s="14">
        <f>IF(Tab_Produtos[[#This Row],[SAÍD]]=0,"",INT(_xlfn.MAXIFS(Tab_Saídas[DT HR SAI],Tab_Saídas[COD_ITEM],Tab_Produtos[[#This Row],[COD_ITEM]])))</f>
        <v>46242</v>
      </c>
      <c r="R21" s="14" t="str">
        <f>IF(Tab_Produtos[[#This Row],[AJS]]=0,"",INT(_xlfn.MAXIFS(Tab_Ajustes[DT HR CONT],Tab_Ajustes[COD_ITEM],Tab_Produtos[[#This Row],[COD_ITEM]])))</f>
        <v/>
      </c>
      <c r="S21" s="22">
        <f ca="1">IFERROR(TODAY()-IF($S$4="Entrada",Tab_Produtos[[#This Row],[ÚLT. ENTR]],IF($S$4="Saída",Tab_Produtos[[#This Row],[ÚLT. SAÍD]],MAX(Tab_Produtos[[#This Row],[ÚLT. ENTR]],Tab_Produtos[[#This Row],[ÚLT. SAÍD]]))),"")</f>
        <v>3</v>
      </c>
    </row>
    <row r="22" spans="4:19" ht="15.6" x14ac:dyDescent="0.3">
      <c r="D22" s="10" t="s">
        <v>67</v>
      </c>
      <c r="E22" s="10" t="s">
        <v>88</v>
      </c>
      <c r="F22" s="10"/>
      <c r="G22" s="10"/>
      <c r="H22" s="10"/>
      <c r="I22" s="17">
        <v>5</v>
      </c>
      <c r="J22" s="18">
        <v>18</v>
      </c>
      <c r="K22" s="20">
        <f>SUMIFS(Tab_Entradas[QTD ENT],Tab_Entradas[COD_ITEM],Tab_Produtos[[#This Row],[COD_ITEM]])</f>
        <v>0</v>
      </c>
      <c r="L22" s="20">
        <f>SUMIFS(Tab_Saídas[QTD SAI],Tab_Saídas[COD_ITEM],Tab_Produtos[[#This Row],[COD_ITEM]])</f>
        <v>1</v>
      </c>
      <c r="M22" s="20">
        <f>SUMIFS(Tab_Ajustes[QTD AJS],Tab_Ajustes[COD_ITEM],Tab_Produtos[[#This Row],[COD_ITEM]])</f>
        <v>0</v>
      </c>
      <c r="N22" s="33">
        <f>Tab_Produtos[[#This Row],[EST. INI]]+Tab_Produtos[[#This Row],[ENTR]]-Tab_Produtos[[#This Row],[SAÍD]]+Tab_Produtos[[#This Row],[AJS]]</f>
        <v>4</v>
      </c>
      <c r="O22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18</v>
      </c>
      <c r="P22" s="14" t="str">
        <f>IF(Tab_Produtos[[#This Row],[ENTR]]=0,"",INT(_xlfn.MAXIFS(Tab_Entradas[DT HR ENT],Tab_Entradas[COD_ITEM],Tab_Produtos[[#This Row],[COD_ITEM]])))</f>
        <v/>
      </c>
      <c r="Q22" s="14">
        <f>IF(Tab_Produtos[[#This Row],[SAÍD]]=0,"",INT(_xlfn.MAXIFS(Tab_Saídas[DT HR SAI],Tab_Saídas[COD_ITEM],Tab_Produtos[[#This Row],[COD_ITEM]])))</f>
        <v>46241</v>
      </c>
      <c r="R22" s="14" t="str">
        <f>IF(Tab_Produtos[[#This Row],[AJS]]=0,"",INT(_xlfn.MAXIFS(Tab_Ajustes[DT HR CONT],Tab_Ajustes[COD_ITEM],Tab_Produtos[[#This Row],[COD_ITEM]])))</f>
        <v/>
      </c>
      <c r="S22" s="22" t="str">
        <f ca="1">IFERROR(TODAY()-IF($S$4="Entrada",Tab_Produtos[[#This Row],[ÚLT. ENTR]],IF($S$4="Saída",Tab_Produtos[[#This Row],[ÚLT. SAÍD]],MAX(Tab_Produtos[[#This Row],[ÚLT. ENTR]],Tab_Produtos[[#This Row],[ÚLT. SAÍD]]))),"")</f>
        <v/>
      </c>
    </row>
    <row r="23" spans="4:19" ht="15.6" x14ac:dyDescent="0.3">
      <c r="D23" s="10" t="s">
        <v>68</v>
      </c>
      <c r="E23" s="10" t="s">
        <v>89</v>
      </c>
      <c r="F23" s="10"/>
      <c r="G23" s="10"/>
      <c r="H23" s="10"/>
      <c r="I23" s="17">
        <v>10</v>
      </c>
      <c r="J23" s="18">
        <v>18</v>
      </c>
      <c r="K23" s="20">
        <f>SUMIFS(Tab_Entradas[QTD ENT],Tab_Entradas[COD_ITEM],Tab_Produtos[[#This Row],[COD_ITEM]])</f>
        <v>0</v>
      </c>
      <c r="L23" s="20">
        <f>SUMIFS(Tab_Saídas[QTD SAI],Tab_Saídas[COD_ITEM],Tab_Produtos[[#This Row],[COD_ITEM]])</f>
        <v>1</v>
      </c>
      <c r="M23" s="20">
        <f>SUMIFS(Tab_Ajustes[QTD AJS],Tab_Ajustes[COD_ITEM],Tab_Produtos[[#This Row],[COD_ITEM]])</f>
        <v>0</v>
      </c>
      <c r="N23" s="33">
        <f>Tab_Produtos[[#This Row],[EST. INI]]+Tab_Produtos[[#This Row],[ENTR]]-Tab_Produtos[[#This Row],[SAÍD]]+Tab_Produtos[[#This Row],[AJS]]</f>
        <v>9</v>
      </c>
      <c r="O23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18</v>
      </c>
      <c r="P23" s="14" t="str">
        <f>IF(Tab_Produtos[[#This Row],[ENTR]]=0,"",INT(_xlfn.MAXIFS(Tab_Entradas[DT HR ENT],Tab_Entradas[COD_ITEM],Tab_Produtos[[#This Row],[COD_ITEM]])))</f>
        <v/>
      </c>
      <c r="Q23" s="14">
        <f>IF(Tab_Produtos[[#This Row],[SAÍD]]=0,"",INT(_xlfn.MAXIFS(Tab_Saídas[DT HR SAI],Tab_Saídas[COD_ITEM],Tab_Produtos[[#This Row],[COD_ITEM]])))</f>
        <v>46241</v>
      </c>
      <c r="R23" s="14" t="str">
        <f>IF(Tab_Produtos[[#This Row],[AJS]]=0,"",INT(_xlfn.MAXIFS(Tab_Ajustes[DT HR CONT],Tab_Ajustes[COD_ITEM],Tab_Produtos[[#This Row],[COD_ITEM]])))</f>
        <v/>
      </c>
      <c r="S23" s="22" t="str">
        <f ca="1">IFERROR(TODAY()-IF($S$4="Entrada",Tab_Produtos[[#This Row],[ÚLT. ENTR]],IF($S$4="Saída",Tab_Produtos[[#This Row],[ÚLT. SAÍD]],MAX(Tab_Produtos[[#This Row],[ÚLT. ENTR]],Tab_Produtos[[#This Row],[ÚLT. SAÍD]]))),"")</f>
        <v/>
      </c>
    </row>
    <row r="24" spans="4:19" ht="15.6" x14ac:dyDescent="0.3">
      <c r="D24" s="10" t="s">
        <v>69</v>
      </c>
      <c r="E24" s="10" t="s">
        <v>90</v>
      </c>
      <c r="F24" s="10"/>
      <c r="G24" s="10"/>
      <c r="H24" s="10"/>
      <c r="I24" s="17">
        <v>10</v>
      </c>
      <c r="J24" s="18">
        <v>13</v>
      </c>
      <c r="K24" s="20">
        <f>SUMIFS(Tab_Entradas[QTD ENT],Tab_Entradas[COD_ITEM],Tab_Produtos[[#This Row],[COD_ITEM]])</f>
        <v>0</v>
      </c>
      <c r="L24" s="20">
        <f>SUMIFS(Tab_Saídas[QTD SAI],Tab_Saídas[COD_ITEM],Tab_Produtos[[#This Row],[COD_ITEM]])</f>
        <v>1</v>
      </c>
      <c r="M24" s="20">
        <f>SUMIFS(Tab_Ajustes[QTD AJS],Tab_Ajustes[COD_ITEM],Tab_Produtos[[#This Row],[COD_ITEM]])</f>
        <v>-5</v>
      </c>
      <c r="N24" s="33">
        <f>Tab_Produtos[[#This Row],[EST. INI]]+Tab_Produtos[[#This Row],[ENTR]]-Tab_Produtos[[#This Row],[SAÍD]]+Tab_Produtos[[#This Row],[AJS]]</f>
        <v>4</v>
      </c>
      <c r="O24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13</v>
      </c>
      <c r="P24" s="14" t="str">
        <f>IF(Tab_Produtos[[#This Row],[ENTR]]=0,"",INT(_xlfn.MAXIFS(Tab_Entradas[DT HR ENT],Tab_Entradas[COD_ITEM],Tab_Produtos[[#This Row],[COD_ITEM]])))</f>
        <v/>
      </c>
      <c r="Q24" s="14">
        <f>IF(Tab_Produtos[[#This Row],[SAÍD]]=0,"",INT(_xlfn.MAXIFS(Tab_Saídas[DT HR SAI],Tab_Saídas[COD_ITEM],Tab_Produtos[[#This Row],[COD_ITEM]])))</f>
        <v>46243</v>
      </c>
      <c r="R24" s="14">
        <f>IF(Tab_Produtos[[#This Row],[AJS]]=0,"",INT(_xlfn.MAXIFS(Tab_Ajustes[DT HR CONT],Tab_Ajustes[COD_ITEM],Tab_Produtos[[#This Row],[COD_ITEM]])))</f>
        <v>46242</v>
      </c>
      <c r="S24" s="22" t="str">
        <f ca="1">IFERROR(TODAY()-IF($S$4="Entrada",Tab_Produtos[[#This Row],[ÚLT. ENTR]],IF($S$4="Saída",Tab_Produtos[[#This Row],[ÚLT. SAÍD]],MAX(Tab_Produtos[[#This Row],[ÚLT. ENTR]],Tab_Produtos[[#This Row],[ÚLT. SAÍD]]))),"")</f>
        <v/>
      </c>
    </row>
    <row r="25" spans="4:19" ht="15.6" x14ac:dyDescent="0.3">
      <c r="D25" s="10" t="s">
        <v>70</v>
      </c>
      <c r="E25" s="10" t="s">
        <v>91</v>
      </c>
      <c r="F25" s="10"/>
      <c r="G25" s="10"/>
      <c r="H25" s="10"/>
      <c r="I25" s="17">
        <v>10</v>
      </c>
      <c r="J25" s="18">
        <v>8</v>
      </c>
      <c r="K25" s="20">
        <f>SUMIFS(Tab_Entradas[QTD ENT],Tab_Entradas[COD_ITEM],Tab_Produtos[[#This Row],[COD_ITEM]])</f>
        <v>0</v>
      </c>
      <c r="L25" s="20">
        <f>SUMIFS(Tab_Saídas[QTD SAI],Tab_Saídas[COD_ITEM],Tab_Produtos[[#This Row],[COD_ITEM]])</f>
        <v>2</v>
      </c>
      <c r="M25" s="20">
        <f>SUMIFS(Tab_Ajustes[QTD AJS],Tab_Ajustes[COD_ITEM],Tab_Produtos[[#This Row],[COD_ITEM]])</f>
        <v>-6</v>
      </c>
      <c r="N25" s="33">
        <f>Tab_Produtos[[#This Row],[EST. INI]]+Tab_Produtos[[#This Row],[ENTR]]-Tab_Produtos[[#This Row],[SAÍD]]+Tab_Produtos[[#This Row],[AJS]]</f>
        <v>2</v>
      </c>
      <c r="O25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8</v>
      </c>
      <c r="P25" s="14" t="str">
        <f>IF(Tab_Produtos[[#This Row],[ENTR]]=0,"",INT(_xlfn.MAXIFS(Tab_Entradas[DT HR ENT],Tab_Entradas[COD_ITEM],Tab_Produtos[[#This Row],[COD_ITEM]])))</f>
        <v/>
      </c>
      <c r="Q25" s="14">
        <f>IF(Tab_Produtos[[#This Row],[SAÍD]]=0,"",INT(_xlfn.MAXIFS(Tab_Saídas[DT HR SAI],Tab_Saídas[COD_ITEM],Tab_Produtos[[#This Row],[COD_ITEM]])))</f>
        <v>46244</v>
      </c>
      <c r="R25" s="14">
        <f>IF(Tab_Produtos[[#This Row],[AJS]]=0,"",INT(_xlfn.MAXIFS(Tab_Ajustes[DT HR CONT],Tab_Ajustes[COD_ITEM],Tab_Produtos[[#This Row],[COD_ITEM]])))</f>
        <v>46242</v>
      </c>
      <c r="S25" s="22" t="str">
        <f ca="1">IFERROR(TODAY()-IF($S$4="Entrada",Tab_Produtos[[#This Row],[ÚLT. ENTR]],IF($S$4="Saída",Tab_Produtos[[#This Row],[ÚLT. SAÍD]],MAX(Tab_Produtos[[#This Row],[ÚLT. ENTR]],Tab_Produtos[[#This Row],[ÚLT. SAÍD]]))),"")</f>
        <v/>
      </c>
    </row>
    <row r="26" spans="4:19" ht="15.6" x14ac:dyDescent="0.3">
      <c r="D26" s="10" t="s">
        <v>71</v>
      </c>
      <c r="E26" s="10" t="s">
        <v>92</v>
      </c>
      <c r="F26" s="10"/>
      <c r="G26" s="10"/>
      <c r="H26" s="10"/>
      <c r="I26" s="17">
        <v>5</v>
      </c>
      <c r="J26" s="18">
        <v>28</v>
      </c>
      <c r="K26" s="20">
        <f>SUMIFS(Tab_Entradas[QTD ENT],Tab_Entradas[COD_ITEM],Tab_Produtos[[#This Row],[COD_ITEM]])</f>
        <v>0</v>
      </c>
      <c r="L26" s="20">
        <f>SUMIFS(Tab_Saídas[QTD SAI],Tab_Saídas[COD_ITEM],Tab_Produtos[[#This Row],[COD_ITEM]])</f>
        <v>3</v>
      </c>
      <c r="M26" s="20">
        <f>SUMIFS(Tab_Ajustes[QTD AJS],Tab_Ajustes[COD_ITEM],Tab_Produtos[[#This Row],[COD_ITEM]])</f>
        <v>0</v>
      </c>
      <c r="N26" s="33">
        <f>Tab_Produtos[[#This Row],[EST. INI]]+Tab_Produtos[[#This Row],[ENTR]]-Tab_Produtos[[#This Row],[SAÍD]]+Tab_Produtos[[#This Row],[AJS]]</f>
        <v>2</v>
      </c>
      <c r="O26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28</v>
      </c>
      <c r="P26" s="14" t="str">
        <f>IF(Tab_Produtos[[#This Row],[ENTR]]=0,"",INT(_xlfn.MAXIFS(Tab_Entradas[DT HR ENT],Tab_Entradas[COD_ITEM],Tab_Produtos[[#This Row],[COD_ITEM]])))</f>
        <v/>
      </c>
      <c r="Q26" s="14">
        <f>IF(Tab_Produtos[[#This Row],[SAÍD]]=0,"",INT(_xlfn.MAXIFS(Tab_Saídas[DT HR SAI],Tab_Saídas[COD_ITEM],Tab_Produtos[[#This Row],[COD_ITEM]])))</f>
        <v>46243</v>
      </c>
      <c r="R26" s="14" t="str">
        <f>IF(Tab_Produtos[[#This Row],[AJS]]=0,"",INT(_xlfn.MAXIFS(Tab_Ajustes[DT HR CONT],Tab_Ajustes[COD_ITEM],Tab_Produtos[[#This Row],[COD_ITEM]])))</f>
        <v/>
      </c>
      <c r="S26" s="22" t="str">
        <f ca="1">IFERROR(TODAY()-IF($S$4="Entrada",Tab_Produtos[[#This Row],[ÚLT. ENTR]],IF($S$4="Saída",Tab_Produtos[[#This Row],[ÚLT. SAÍD]],MAX(Tab_Produtos[[#This Row],[ÚLT. ENTR]],Tab_Produtos[[#This Row],[ÚLT. SAÍD]]))),"")</f>
        <v/>
      </c>
    </row>
    <row r="27" spans="4:19" ht="15.6" x14ac:dyDescent="0.3">
      <c r="D27" s="10" t="s">
        <v>72</v>
      </c>
      <c r="E27" s="10" t="s">
        <v>93</v>
      </c>
      <c r="F27" s="10"/>
      <c r="G27" s="10"/>
      <c r="H27" s="10"/>
      <c r="I27" s="17">
        <v>10</v>
      </c>
      <c r="J27" s="18">
        <v>23</v>
      </c>
      <c r="K27" s="20">
        <f>SUMIFS(Tab_Entradas[QTD ENT],Tab_Entradas[COD_ITEM],Tab_Produtos[[#This Row],[COD_ITEM]])</f>
        <v>16</v>
      </c>
      <c r="L27" s="20">
        <f>SUMIFS(Tab_Saídas[QTD SAI],Tab_Saídas[COD_ITEM],Tab_Produtos[[#This Row],[COD_ITEM]])</f>
        <v>14</v>
      </c>
      <c r="M27" s="20">
        <f>SUMIFS(Tab_Ajustes[QTD AJS],Tab_Ajustes[COD_ITEM],Tab_Produtos[[#This Row],[COD_ITEM]])</f>
        <v>0</v>
      </c>
      <c r="N27" s="33">
        <f>Tab_Produtos[[#This Row],[EST. INI]]+Tab_Produtos[[#This Row],[ENTR]]-Tab_Produtos[[#This Row],[SAÍD]]+Tab_Produtos[[#This Row],[AJS]]</f>
        <v>12</v>
      </c>
      <c r="O27" s="21">
        <f>IFERROR((Tab_Produtos[[#This Row],[EST. INI]]*Tab_Produtos[[#This Row],[CTM. INI]]+SUMIFS(Tab_Entradas[VLR_TOT],Tab_Entradas[COD_ITEM],Tab_Produtos[[#This Row],[COD_ITEM]]))/(Tab_Produtos[[#This Row],[EST. INI]]+Tab_Produtos[[#This Row],[ENTR]]),0)</f>
        <v>23</v>
      </c>
      <c r="P27" s="14">
        <f>IF(Tab_Produtos[[#This Row],[ENTR]]=0,"",INT(_xlfn.MAXIFS(Tab_Entradas[DT HR ENT],Tab_Entradas[COD_ITEM],Tab_Produtos[[#This Row],[COD_ITEM]])))</f>
        <v>46242</v>
      </c>
      <c r="Q27" s="14">
        <f>IF(Tab_Produtos[[#This Row],[SAÍD]]=0,"",INT(_xlfn.MAXIFS(Tab_Saídas[DT HR SAI],Tab_Saídas[COD_ITEM],Tab_Produtos[[#This Row],[COD_ITEM]])))</f>
        <v>46243</v>
      </c>
      <c r="R27" s="14" t="str">
        <f>IF(Tab_Produtos[[#This Row],[AJS]]=0,"",INT(_xlfn.MAXIFS(Tab_Ajustes[DT HR CONT],Tab_Ajustes[COD_ITEM],Tab_Produtos[[#This Row],[COD_ITEM]])))</f>
        <v/>
      </c>
      <c r="S27" s="22">
        <f ca="1">IFERROR(TODAY()-IF($S$4="Entrada",Tab_Produtos[[#This Row],[ÚLT. ENTR]],IF($S$4="Saída",Tab_Produtos[[#This Row],[ÚLT. SAÍD]],MAX(Tab_Produtos[[#This Row],[ÚLT. ENTR]],Tab_Produtos[[#This Row],[ÚLT. SAÍD]]))),"")</f>
        <v>3</v>
      </c>
    </row>
  </sheetData>
  <dataValidations disablePrompts="1" count="2">
    <dataValidation type="custom" allowBlank="1" showInputMessage="1" showErrorMessage="1" errorTitle="Atenção!" error="Nome de Cadastro já informado. Por favor, insira um novo para não ter problemas de informações duplicadas!" sqref="K2" xr:uid="{6A5D27FC-6A72-426A-A59C-4DEE1A12DA0E}">
      <formula1>COUNTIFS(K:K,K2)&lt;=1</formula1>
    </dataValidation>
    <dataValidation type="list" allowBlank="1" showInputMessage="1" showErrorMessage="1" sqref="S4" xr:uid="{7F2C553C-AA52-4820-A95C-644EE4BADC5B}">
      <formula1>"Entrada,Saída,Geral"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42FE-2A3D-4FB6-9145-C759EC3B75A6}">
  <dimension ref="B2:I21"/>
  <sheetViews>
    <sheetView zoomScale="110" zoomScaleNormal="110" workbookViewId="0">
      <selection activeCell="E12" sqref="E12"/>
    </sheetView>
  </sheetViews>
  <sheetFormatPr defaultRowHeight="14.4" x14ac:dyDescent="0.3"/>
  <cols>
    <col min="1" max="1" width="2" style="1" customWidth="1"/>
    <col min="2" max="2" width="5.88671875" style="1" customWidth="1"/>
    <col min="3" max="3" width="2" style="1" customWidth="1"/>
    <col min="4" max="4" width="8.88671875" style="1"/>
    <col min="5" max="5" width="28.6640625" style="24" customWidth="1"/>
    <col min="6" max="16384" width="8.88671875" style="1"/>
  </cols>
  <sheetData>
    <row r="2" spans="2:9" s="3" customFormat="1" ht="27" customHeight="1" x14ac:dyDescent="0.3">
      <c r="B2" s="2"/>
      <c r="D2" s="4" t="s">
        <v>34</v>
      </c>
      <c r="E2" s="25"/>
      <c r="F2" s="6"/>
      <c r="H2" s="7"/>
      <c r="I2" s="8"/>
    </row>
    <row r="4" spans="2:9" x14ac:dyDescent="0.3">
      <c r="D4" s="9" t="s">
        <v>35</v>
      </c>
      <c r="E4" s="32" t="s">
        <v>36</v>
      </c>
    </row>
    <row r="6" spans="2:9" x14ac:dyDescent="0.3">
      <c r="D6" s="9" t="s">
        <v>37</v>
      </c>
      <c r="E6" s="26" t="str">
        <f>IFERROR(VLOOKUP(E4,Tab_Produtos[],2,0),"")</f>
        <v/>
      </c>
    </row>
    <row r="7" spans="2:9" x14ac:dyDescent="0.3">
      <c r="D7" s="9" t="s">
        <v>38</v>
      </c>
      <c r="E7" s="26" t="str">
        <f>IFERROR(VLOOKUP(E4,Tab_Produtos[],3,0),"")</f>
        <v/>
      </c>
    </row>
    <row r="8" spans="2:9" x14ac:dyDescent="0.3">
      <c r="D8" s="9" t="s">
        <v>39</v>
      </c>
      <c r="E8" s="26" t="str">
        <f>IFERROR(VLOOKUP(E4,Tab_Produtos[],4,0),"")</f>
        <v/>
      </c>
    </row>
    <row r="9" spans="2:9" x14ac:dyDescent="0.3">
      <c r="D9" s="9" t="s">
        <v>40</v>
      </c>
      <c r="E9" s="26" t="str">
        <f>IFERROR(VLOOKUP(E4,Tab_Produtos[],5,0),"")</f>
        <v/>
      </c>
    </row>
    <row r="10" spans="2:9" x14ac:dyDescent="0.3">
      <c r="D10" s="9"/>
      <c r="E10" s="27"/>
    </row>
    <row r="11" spans="2:9" x14ac:dyDescent="0.3">
      <c r="D11" s="9" t="s">
        <v>41</v>
      </c>
      <c r="E11" s="28" t="str">
        <f>IFERROR(VLOOKUP(E4,Tab_Produtos[],6,0),"")</f>
        <v/>
      </c>
    </row>
    <row r="12" spans="2:9" x14ac:dyDescent="0.3">
      <c r="D12" s="9" t="s">
        <v>42</v>
      </c>
      <c r="E12" s="29" t="str">
        <f>IFERROR(VLOOKUP(E4,Tab_Produtos[],7,0),"")</f>
        <v/>
      </c>
    </row>
    <row r="13" spans="2:9" x14ac:dyDescent="0.3">
      <c r="D13" s="9" t="s">
        <v>43</v>
      </c>
      <c r="E13" s="28" t="str">
        <f>IFERROR(VLOOKUP(E4,Tab_Produtos[],8,0),"")</f>
        <v/>
      </c>
    </row>
    <row r="14" spans="2:9" x14ac:dyDescent="0.3">
      <c r="D14" s="9" t="s">
        <v>44</v>
      </c>
      <c r="E14" s="28" t="str">
        <f>IFERROR(VLOOKUP(E4,Tab_Produtos[],9,0),"")</f>
        <v/>
      </c>
    </row>
    <row r="15" spans="2:9" x14ac:dyDescent="0.3">
      <c r="D15" s="9" t="s">
        <v>45</v>
      </c>
      <c r="E15" s="28" t="str">
        <f>IFERROR(VLOOKUP(E4,Tab_Produtos[],10,0),"")</f>
        <v/>
      </c>
    </row>
    <row r="16" spans="2:9" x14ac:dyDescent="0.3">
      <c r="D16" s="9" t="s">
        <v>46</v>
      </c>
      <c r="E16" s="28" t="str">
        <f>IFERROR(VLOOKUP(E4,Tab_Produtos[],11,0),"")</f>
        <v/>
      </c>
    </row>
    <row r="17" spans="4:5" x14ac:dyDescent="0.3">
      <c r="D17" s="9" t="s">
        <v>47</v>
      </c>
      <c r="E17" s="29" t="str">
        <f>IFERROR(VLOOKUP(E4,Tab_Produtos[],12,0),"")</f>
        <v/>
      </c>
    </row>
    <row r="18" spans="4:5" x14ac:dyDescent="0.3">
      <c r="D18" s="9"/>
      <c r="E18" s="27"/>
    </row>
    <row r="19" spans="4:5" x14ac:dyDescent="0.3">
      <c r="D19" s="9" t="s">
        <v>48</v>
      </c>
      <c r="E19" s="30" t="str">
        <f>IFERROR(VLOOKUP(E4,Tab_Produtos[],13,0),"")</f>
        <v/>
      </c>
    </row>
    <row r="20" spans="4:5" x14ac:dyDescent="0.3">
      <c r="D20" s="9" t="s">
        <v>49</v>
      </c>
      <c r="E20" s="30" t="str">
        <f>IFERROR(VLOOKUP(E4,Tab_Produtos[],14,0),"")</f>
        <v/>
      </c>
    </row>
    <row r="21" spans="4:5" x14ac:dyDescent="0.3">
      <c r="D21" s="9" t="s">
        <v>50</v>
      </c>
      <c r="E21" s="31" t="str">
        <f>IFERROR(VLOOKUP(E4,Tab_Produtos[],15,0),"")</f>
        <v/>
      </c>
    </row>
  </sheetData>
  <sheetProtection algorithmName="SHA-512" hashValue="uY/CEotBeEqJIa5/kvJviLTGljvbiSsnajKDddp/7/v36lpyQNx9odwyIexzgUVzbzfrTdz5r5oGcUAeAc06vw==" saltValue="5vDVlagVFp8ACgr87Md4sg==" spinCount="100000" sheet="1" objects="1" scenarios="1"/>
  <dataValidations disablePrompts="1" count="1">
    <dataValidation type="custom" allowBlank="1" showInputMessage="1" showErrorMessage="1" errorTitle="Atenção!" error="Nome de Cadastro já informado. Por favor, insira um novo para não ter problemas de informações duplicadas!" sqref="J2" xr:uid="{4D6A3D83-27B0-4E82-8DA0-D3108E9EF68E}">
      <formula1>COUNTIFS(J:J,J2)&lt;=1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B0FD-2F30-4259-82E7-438193AE95C6}">
  <dimension ref="B2:I12"/>
  <sheetViews>
    <sheetView zoomScale="110" zoomScaleNormal="110" workbookViewId="0">
      <selection activeCell="D7" sqref="D7:H12"/>
    </sheetView>
  </sheetViews>
  <sheetFormatPr defaultRowHeight="14.4" x14ac:dyDescent="0.3"/>
  <cols>
    <col min="1" max="1" width="2" style="1" customWidth="1"/>
    <col min="2" max="2" width="5.88671875" style="1" customWidth="1"/>
    <col min="3" max="3" width="2" style="1" customWidth="1"/>
    <col min="4" max="4" width="13.33203125" style="1" customWidth="1"/>
    <col min="5" max="5" width="12.77734375" style="1" customWidth="1"/>
    <col min="6" max="6" width="18" style="1" customWidth="1"/>
    <col min="7" max="7" width="12.21875" style="1" customWidth="1"/>
    <col min="8" max="9" width="12.88671875" style="1" customWidth="1"/>
    <col min="10" max="16384" width="8.88671875" style="1"/>
  </cols>
  <sheetData>
    <row r="2" spans="2:9" s="3" customFormat="1" ht="27" customHeight="1" x14ac:dyDescent="0.3">
      <c r="B2" s="2"/>
      <c r="D2" s="4" t="s">
        <v>16</v>
      </c>
      <c r="E2" s="5"/>
      <c r="F2" s="6"/>
      <c r="H2" s="7"/>
      <c r="I2" s="8"/>
    </row>
    <row r="4" spans="2:9" x14ac:dyDescent="0.3">
      <c r="I4" s="13" t="s">
        <v>14</v>
      </c>
    </row>
    <row r="5" spans="2:9" ht="6" customHeight="1" x14ac:dyDescent="0.3"/>
    <row r="6" spans="2:9" x14ac:dyDescent="0.3">
      <c r="D6" s="10" t="s">
        <v>0</v>
      </c>
      <c r="E6" s="10" t="s">
        <v>20</v>
      </c>
      <c r="F6" s="10" t="s">
        <v>23</v>
      </c>
      <c r="G6" s="10" t="s">
        <v>19</v>
      </c>
      <c r="H6" s="10" t="s">
        <v>21</v>
      </c>
      <c r="I6" s="19" t="s">
        <v>22</v>
      </c>
    </row>
    <row r="7" spans="2:9" x14ac:dyDescent="0.3">
      <c r="D7" s="10" t="s">
        <v>54</v>
      </c>
      <c r="E7" s="10"/>
      <c r="F7" s="16">
        <v>46242</v>
      </c>
      <c r="G7" s="17">
        <v>7</v>
      </c>
      <c r="H7" s="18">
        <v>126</v>
      </c>
      <c r="I7" s="18">
        <f>IFERROR(Tab_Entradas[[#This Row],[VLR_TOT]]/Tab_Entradas[[#This Row],[QTD ENT]],0)</f>
        <v>18</v>
      </c>
    </row>
    <row r="8" spans="2:9" x14ac:dyDescent="0.3">
      <c r="D8" s="10" t="s">
        <v>64</v>
      </c>
      <c r="E8" s="10"/>
      <c r="F8" s="16">
        <v>46242</v>
      </c>
      <c r="G8" s="17">
        <v>10</v>
      </c>
      <c r="H8" s="18">
        <v>210</v>
      </c>
      <c r="I8" s="18">
        <f>IFERROR(Tab_Entradas[[#This Row],[VLR_TOT]]/Tab_Entradas[[#This Row],[QTD ENT]],0)</f>
        <v>21</v>
      </c>
    </row>
    <row r="9" spans="2:9" x14ac:dyDescent="0.3">
      <c r="D9" s="10" t="s">
        <v>65</v>
      </c>
      <c r="E9" s="10"/>
      <c r="F9" s="16">
        <v>46242</v>
      </c>
      <c r="G9" s="17">
        <v>10</v>
      </c>
      <c r="H9" s="18">
        <v>180</v>
      </c>
      <c r="I9" s="18">
        <f>IFERROR(Tab_Entradas[[#This Row],[VLR_TOT]]/Tab_Entradas[[#This Row],[QTD ENT]],0)</f>
        <v>18</v>
      </c>
    </row>
    <row r="10" spans="2:9" x14ac:dyDescent="0.3">
      <c r="D10" s="10" t="s">
        <v>66</v>
      </c>
      <c r="E10" s="10"/>
      <c r="F10" s="16">
        <v>46242</v>
      </c>
      <c r="G10" s="17">
        <v>10</v>
      </c>
      <c r="H10" s="18">
        <v>180</v>
      </c>
      <c r="I10" s="18">
        <f>IFERROR(Tab_Entradas[[#This Row],[VLR_TOT]]/Tab_Entradas[[#This Row],[QTD ENT]],0)</f>
        <v>18</v>
      </c>
    </row>
    <row r="11" spans="2:9" x14ac:dyDescent="0.3">
      <c r="D11" s="10" t="s">
        <v>72</v>
      </c>
      <c r="E11" s="10"/>
      <c r="F11" s="16">
        <v>46242</v>
      </c>
      <c r="G11" s="17">
        <v>16</v>
      </c>
      <c r="H11" s="18">
        <v>368</v>
      </c>
      <c r="I11" s="18">
        <f>IFERROR(Tab_Entradas[[#This Row],[VLR_TOT]]/Tab_Entradas[[#This Row],[QTD ENT]],0)</f>
        <v>23</v>
      </c>
    </row>
    <row r="12" spans="2:9" x14ac:dyDescent="0.3">
      <c r="D12" s="10" t="s">
        <v>59</v>
      </c>
      <c r="E12" s="10"/>
      <c r="F12" s="16">
        <v>46242</v>
      </c>
      <c r="G12" s="17">
        <v>5</v>
      </c>
      <c r="H12" s="18">
        <v>115</v>
      </c>
      <c r="I12" s="18">
        <f>IFERROR(Tab_Entradas[[#This Row],[VLR_TOT]]/Tab_Entradas[[#This Row],[QTD ENT]],0)</f>
        <v>23</v>
      </c>
    </row>
  </sheetData>
  <dataValidations disablePrompts="1" count="1">
    <dataValidation type="custom" allowBlank="1" showInputMessage="1" showErrorMessage="1" errorTitle="Atenção!" error="Nome de Cadastro já informado. Por favor, insira um novo para não ter problemas de informações duplicadas!" sqref="J2" xr:uid="{9C79376F-72BC-4D56-909D-EE889E9797B0}">
      <formula1>COUNTIFS(J:J,J2)&lt;=1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2F4F8-B2C5-457D-945C-8D58CAD2E428}">
  <dimension ref="B2:I56"/>
  <sheetViews>
    <sheetView topLeftCell="A2" zoomScale="110" zoomScaleNormal="110" workbookViewId="0">
      <selection activeCell="L71" sqref="L71"/>
    </sheetView>
  </sheetViews>
  <sheetFormatPr defaultRowHeight="14.4" x14ac:dyDescent="0.3"/>
  <cols>
    <col min="1" max="1" width="2" style="1" customWidth="1"/>
    <col min="2" max="2" width="5.88671875" style="1" customWidth="1"/>
    <col min="3" max="3" width="2" style="1" customWidth="1"/>
    <col min="4" max="4" width="13.33203125" style="1" customWidth="1"/>
    <col min="5" max="5" width="12.77734375" style="1" customWidth="1"/>
    <col min="6" max="6" width="18" style="1" customWidth="1"/>
    <col min="7" max="7" width="12.21875" style="1" customWidth="1"/>
    <col min="8" max="9" width="12.88671875" style="1" customWidth="1"/>
    <col min="10" max="16384" width="8.88671875" style="1"/>
  </cols>
  <sheetData>
    <row r="2" spans="2:9" s="3" customFormat="1" ht="27" customHeight="1" x14ac:dyDescent="0.3">
      <c r="B2" s="2"/>
      <c r="D2" s="4" t="s">
        <v>17</v>
      </c>
      <c r="E2" s="5"/>
      <c r="F2" s="6"/>
      <c r="H2" s="7"/>
      <c r="I2" s="8"/>
    </row>
    <row r="4" spans="2:9" x14ac:dyDescent="0.3">
      <c r="I4" s="13" t="s">
        <v>14</v>
      </c>
    </row>
    <row r="5" spans="2:9" ht="6" customHeight="1" x14ac:dyDescent="0.3"/>
    <row r="6" spans="2:9" x14ac:dyDescent="0.3">
      <c r="D6" s="10" t="s">
        <v>0</v>
      </c>
      <c r="E6" s="10" t="s">
        <v>26</v>
      </c>
      <c r="F6" s="10" t="s">
        <v>27</v>
      </c>
      <c r="G6" s="10" t="s">
        <v>28</v>
      </c>
      <c r="H6" s="10" t="s">
        <v>21</v>
      </c>
      <c r="I6" s="19" t="s">
        <v>22</v>
      </c>
    </row>
    <row r="7" spans="2:9" x14ac:dyDescent="0.3">
      <c r="D7" s="10" t="s">
        <v>62</v>
      </c>
      <c r="E7" s="10"/>
      <c r="F7" s="16">
        <v>46241</v>
      </c>
      <c r="G7" s="17">
        <v>1</v>
      </c>
      <c r="H7" s="18">
        <v>49.99</v>
      </c>
      <c r="I7" s="18">
        <f>IFERROR(Tab_Saídas[[#This Row],[VLR_TOT]]/Tab_Saídas[[#This Row],[QTD SAI]],0)</f>
        <v>49.99</v>
      </c>
    </row>
    <row r="8" spans="2:9" x14ac:dyDescent="0.3">
      <c r="D8" s="10" t="s">
        <v>63</v>
      </c>
      <c r="E8" s="10"/>
      <c r="F8" s="16">
        <v>46241</v>
      </c>
      <c r="G8" s="17">
        <v>1</v>
      </c>
      <c r="H8" s="18">
        <v>29.99</v>
      </c>
      <c r="I8" s="18">
        <f>IFERROR(Tab_Saídas[[#This Row],[VLR_TOT]]/Tab_Saídas[[#This Row],[QTD SAI]],0)</f>
        <v>29.99</v>
      </c>
    </row>
    <row r="9" spans="2:9" x14ac:dyDescent="0.3">
      <c r="D9" s="10" t="s">
        <v>54</v>
      </c>
      <c r="E9" s="10"/>
      <c r="F9" s="16">
        <v>46241</v>
      </c>
      <c r="G9" s="17">
        <v>2</v>
      </c>
      <c r="H9" s="18">
        <v>49.98</v>
      </c>
      <c r="I9" s="18">
        <f>IFERROR(Tab_Saídas[[#This Row],[VLR_TOT]]/Tab_Saídas[[#This Row],[QTD SAI]],0)</f>
        <v>24.99</v>
      </c>
    </row>
    <row r="10" spans="2:9" x14ac:dyDescent="0.3">
      <c r="D10" s="10" t="s">
        <v>58</v>
      </c>
      <c r="E10" s="10"/>
      <c r="F10" s="16">
        <v>46241</v>
      </c>
      <c r="G10" s="17">
        <v>1</v>
      </c>
      <c r="H10" s="18">
        <v>29.99</v>
      </c>
      <c r="I10" s="18">
        <f>IFERROR(Tab_Saídas[[#This Row],[VLR_TOT]]/Tab_Saídas[[#This Row],[QTD SAI]],0)</f>
        <v>29.99</v>
      </c>
    </row>
    <row r="11" spans="2:9" x14ac:dyDescent="0.3">
      <c r="D11" s="10" t="s">
        <v>64</v>
      </c>
      <c r="E11" s="10"/>
      <c r="F11" s="16">
        <v>46241</v>
      </c>
      <c r="G11" s="17">
        <v>1</v>
      </c>
      <c r="H11" s="18">
        <v>27.99</v>
      </c>
      <c r="I11" s="18">
        <f>IFERROR(Tab_Saídas[[#This Row],[VLR_TOT]]/Tab_Saídas[[#This Row],[QTD SAI]],0)</f>
        <v>27.99</v>
      </c>
    </row>
    <row r="12" spans="2:9" x14ac:dyDescent="0.3">
      <c r="D12" s="10" t="s">
        <v>53</v>
      </c>
      <c r="E12" s="10"/>
      <c r="F12" s="16">
        <v>46241</v>
      </c>
      <c r="G12" s="17">
        <v>1</v>
      </c>
      <c r="H12" s="18">
        <v>24.99</v>
      </c>
      <c r="I12" s="18">
        <f>IFERROR(Tab_Saídas[[#This Row],[VLR_TOT]]/Tab_Saídas[[#This Row],[QTD SAI]],0)</f>
        <v>24.99</v>
      </c>
    </row>
    <row r="13" spans="2:9" x14ac:dyDescent="0.3">
      <c r="D13" s="10" t="s">
        <v>72</v>
      </c>
      <c r="E13" s="10"/>
      <c r="F13" s="16">
        <v>46241</v>
      </c>
      <c r="G13" s="17">
        <v>1</v>
      </c>
      <c r="H13" s="18">
        <v>29.99</v>
      </c>
      <c r="I13" s="18">
        <f>IFERROR(Tab_Saídas[[#This Row],[VLR_TOT]]/Tab_Saídas[[#This Row],[QTD SAI]],0)</f>
        <v>29.99</v>
      </c>
    </row>
    <row r="14" spans="2:9" x14ac:dyDescent="0.3">
      <c r="D14" s="10" t="s">
        <v>57</v>
      </c>
      <c r="E14" s="10"/>
      <c r="F14" s="16">
        <v>46241</v>
      </c>
      <c r="G14" s="17">
        <v>1</v>
      </c>
      <c r="H14" s="18">
        <v>24.99</v>
      </c>
      <c r="I14" s="18">
        <f>IFERROR(Tab_Saídas[[#This Row],[VLR_TOT]]/Tab_Saídas[[#This Row],[QTD SAI]],0)</f>
        <v>24.99</v>
      </c>
    </row>
    <row r="15" spans="2:9" x14ac:dyDescent="0.3">
      <c r="D15" s="10" t="s">
        <v>56</v>
      </c>
      <c r="E15" s="10"/>
      <c r="F15" s="16">
        <v>46241</v>
      </c>
      <c r="G15" s="17">
        <v>1</v>
      </c>
      <c r="H15" s="18">
        <v>24.99</v>
      </c>
      <c r="I15" s="18">
        <f>IFERROR(Tab_Saídas[[#This Row],[VLR_TOT]]/Tab_Saídas[[#This Row],[QTD SAI]],0)</f>
        <v>24.99</v>
      </c>
    </row>
    <row r="16" spans="2:9" x14ac:dyDescent="0.3">
      <c r="D16" s="10" t="s">
        <v>54</v>
      </c>
      <c r="E16" s="10"/>
      <c r="F16" s="16">
        <v>46241</v>
      </c>
      <c r="G16" s="17">
        <v>1</v>
      </c>
      <c r="H16" s="18">
        <v>24.99</v>
      </c>
      <c r="I16" s="18">
        <f>IFERROR(Tab_Saídas[[#This Row],[VLR_TOT]]/Tab_Saídas[[#This Row],[QTD SAI]],0)</f>
        <v>24.99</v>
      </c>
    </row>
    <row r="17" spans="4:9" x14ac:dyDescent="0.3">
      <c r="D17" s="10" t="s">
        <v>67</v>
      </c>
      <c r="E17" s="10"/>
      <c r="F17" s="16">
        <v>46241</v>
      </c>
      <c r="G17" s="17">
        <v>1</v>
      </c>
      <c r="H17" s="18">
        <v>24.99</v>
      </c>
      <c r="I17" s="18">
        <f>IFERROR(Tab_Saídas[[#This Row],[VLR_TOT]]/Tab_Saídas[[#This Row],[QTD SAI]],0)</f>
        <v>24.99</v>
      </c>
    </row>
    <row r="18" spans="4:9" x14ac:dyDescent="0.3">
      <c r="D18" s="10" t="s">
        <v>72</v>
      </c>
      <c r="E18" s="10"/>
      <c r="F18" s="16">
        <v>46241</v>
      </c>
      <c r="G18" s="17">
        <v>1</v>
      </c>
      <c r="H18" s="18">
        <v>24.99</v>
      </c>
      <c r="I18" s="18">
        <f>IFERROR(Tab_Saídas[[#This Row],[VLR_TOT]]/Tab_Saídas[[#This Row],[QTD SAI]],0)</f>
        <v>24.99</v>
      </c>
    </row>
    <row r="19" spans="4:9" x14ac:dyDescent="0.3">
      <c r="D19" s="10" t="s">
        <v>61</v>
      </c>
      <c r="E19" s="10"/>
      <c r="F19" s="16">
        <v>46241</v>
      </c>
      <c r="G19" s="17">
        <v>1</v>
      </c>
      <c r="H19" s="18">
        <v>26.99</v>
      </c>
      <c r="I19" s="18">
        <f>IFERROR(Tab_Saídas[[#This Row],[VLR_TOT]]/Tab_Saídas[[#This Row],[QTD SAI]],0)</f>
        <v>26.99</v>
      </c>
    </row>
    <row r="20" spans="4:9" x14ac:dyDescent="0.3">
      <c r="D20" s="10" t="s">
        <v>60</v>
      </c>
      <c r="E20" s="10"/>
      <c r="F20" s="16">
        <v>46241</v>
      </c>
      <c r="G20" s="17">
        <v>1</v>
      </c>
      <c r="H20" s="18">
        <v>31.99</v>
      </c>
      <c r="I20" s="18">
        <f>IFERROR(Tab_Saídas[[#This Row],[VLR_TOT]]/Tab_Saídas[[#This Row],[QTD SAI]],0)</f>
        <v>31.99</v>
      </c>
    </row>
    <row r="21" spans="4:9" x14ac:dyDescent="0.3">
      <c r="D21" s="10" t="s">
        <v>54</v>
      </c>
      <c r="E21" s="10"/>
      <c r="F21" s="16">
        <v>46241</v>
      </c>
      <c r="G21" s="17">
        <v>1</v>
      </c>
      <c r="H21" s="18">
        <v>24.99</v>
      </c>
      <c r="I21" s="18">
        <f>IFERROR(Tab_Saídas[[#This Row],[VLR_TOT]]/Tab_Saídas[[#This Row],[QTD SAI]],0)</f>
        <v>24.99</v>
      </c>
    </row>
    <row r="22" spans="4:9" x14ac:dyDescent="0.3">
      <c r="D22" s="10" t="s">
        <v>72</v>
      </c>
      <c r="E22" s="10"/>
      <c r="F22" s="16">
        <v>46241</v>
      </c>
      <c r="G22" s="17">
        <v>1</v>
      </c>
      <c r="H22" s="18">
        <v>29.99</v>
      </c>
      <c r="I22" s="18">
        <f>IFERROR(Tab_Saídas[[#This Row],[VLR_TOT]]/Tab_Saídas[[#This Row],[QTD SAI]],0)</f>
        <v>29.99</v>
      </c>
    </row>
    <row r="23" spans="4:9" x14ac:dyDescent="0.3">
      <c r="D23" s="10" t="s">
        <v>64</v>
      </c>
      <c r="E23" s="10"/>
      <c r="F23" s="16">
        <v>46241</v>
      </c>
      <c r="G23" s="17">
        <v>2</v>
      </c>
      <c r="H23" s="18">
        <v>55.98</v>
      </c>
      <c r="I23" s="18">
        <f>IFERROR(Tab_Saídas[[#This Row],[VLR_TOT]]/Tab_Saídas[[#This Row],[QTD SAI]],0)</f>
        <v>27.99</v>
      </c>
    </row>
    <row r="24" spans="4:9" x14ac:dyDescent="0.3">
      <c r="D24" s="10" t="s">
        <v>65</v>
      </c>
      <c r="E24" s="10"/>
      <c r="F24" s="16">
        <v>46241</v>
      </c>
      <c r="G24" s="17">
        <v>2</v>
      </c>
      <c r="H24" s="18">
        <v>49.98</v>
      </c>
      <c r="I24" s="18">
        <f>IFERROR(Tab_Saídas[[#This Row],[VLR_TOT]]/Tab_Saídas[[#This Row],[QTD SAI]],0)</f>
        <v>24.99</v>
      </c>
    </row>
    <row r="25" spans="4:9" x14ac:dyDescent="0.3">
      <c r="D25" s="10" t="s">
        <v>72</v>
      </c>
      <c r="E25" s="10"/>
      <c r="F25" s="16">
        <v>46241</v>
      </c>
      <c r="G25" s="17">
        <v>1</v>
      </c>
      <c r="H25" s="18">
        <v>29.99</v>
      </c>
      <c r="I25" s="18">
        <f>IFERROR(Tab_Saídas[[#This Row],[VLR_TOT]]/Tab_Saídas[[#This Row],[QTD SAI]],0)</f>
        <v>29.99</v>
      </c>
    </row>
    <row r="26" spans="4:9" x14ac:dyDescent="0.3">
      <c r="D26" s="10" t="s">
        <v>62</v>
      </c>
      <c r="E26" s="10"/>
      <c r="F26" s="16">
        <v>46241</v>
      </c>
      <c r="G26" s="17">
        <v>2</v>
      </c>
      <c r="H26" s="18">
        <v>99.98</v>
      </c>
      <c r="I26" s="18">
        <f>IFERROR(Tab_Saídas[[#This Row],[VLR_TOT]]/Tab_Saídas[[#This Row],[QTD SAI]],0)</f>
        <v>49.99</v>
      </c>
    </row>
    <row r="27" spans="4:9" x14ac:dyDescent="0.3">
      <c r="D27" s="10" t="s">
        <v>58</v>
      </c>
      <c r="E27" s="10"/>
      <c r="F27" s="16">
        <v>46241</v>
      </c>
      <c r="G27" s="17">
        <v>1</v>
      </c>
      <c r="H27" s="18">
        <v>29.99</v>
      </c>
      <c r="I27" s="18">
        <f>IFERROR(Tab_Saídas[[#This Row],[VLR_TOT]]/Tab_Saídas[[#This Row],[QTD SAI]],0)</f>
        <v>29.99</v>
      </c>
    </row>
    <row r="28" spans="4:9" x14ac:dyDescent="0.3">
      <c r="D28" s="10" t="s">
        <v>60</v>
      </c>
      <c r="E28" s="10"/>
      <c r="F28" s="16">
        <v>46241</v>
      </c>
      <c r="G28" s="17">
        <v>1</v>
      </c>
      <c r="H28" s="18">
        <v>31.99</v>
      </c>
      <c r="I28" s="18">
        <f>IFERROR(Tab_Saídas[[#This Row],[VLR_TOT]]/Tab_Saídas[[#This Row],[QTD SAI]],0)</f>
        <v>31.99</v>
      </c>
    </row>
    <row r="29" spans="4:9" x14ac:dyDescent="0.3">
      <c r="D29" s="10" t="s">
        <v>61</v>
      </c>
      <c r="E29" s="10"/>
      <c r="F29" s="16">
        <v>46241</v>
      </c>
      <c r="G29" s="17">
        <v>1</v>
      </c>
      <c r="H29" s="18">
        <v>26.99</v>
      </c>
      <c r="I29" s="18">
        <f>IFERROR(Tab_Saídas[[#This Row],[VLR_TOT]]/Tab_Saídas[[#This Row],[QTD SAI]],0)</f>
        <v>26.99</v>
      </c>
    </row>
    <row r="30" spans="4:9" x14ac:dyDescent="0.3">
      <c r="D30" s="10" t="s">
        <v>68</v>
      </c>
      <c r="E30" s="10"/>
      <c r="F30" s="16">
        <v>46241</v>
      </c>
      <c r="G30" s="17">
        <v>1</v>
      </c>
      <c r="H30" s="18">
        <v>24.99</v>
      </c>
      <c r="I30" s="18">
        <f>IFERROR(Tab_Saídas[[#This Row],[VLR_TOT]]/Tab_Saídas[[#This Row],[QTD SAI]],0)</f>
        <v>24.99</v>
      </c>
    </row>
    <row r="31" spans="4:9" x14ac:dyDescent="0.3">
      <c r="D31" s="10" t="s">
        <v>62</v>
      </c>
      <c r="E31" s="10"/>
      <c r="F31" s="16">
        <v>46241</v>
      </c>
      <c r="G31" s="17">
        <v>1</v>
      </c>
      <c r="H31" s="18">
        <v>49.99</v>
      </c>
      <c r="I31" s="18">
        <f>IFERROR(Tab_Saídas[[#This Row],[VLR_TOT]]/Tab_Saídas[[#This Row],[QTD SAI]],0)</f>
        <v>49.99</v>
      </c>
    </row>
    <row r="32" spans="4:9" x14ac:dyDescent="0.3">
      <c r="D32" s="10" t="s">
        <v>72</v>
      </c>
      <c r="E32" s="10"/>
      <c r="F32" s="16">
        <v>46241</v>
      </c>
      <c r="G32" s="17">
        <v>2</v>
      </c>
      <c r="H32" s="18">
        <v>59.98</v>
      </c>
      <c r="I32" s="18">
        <f>IFERROR(Tab_Saídas[[#This Row],[VLR_TOT]]/Tab_Saídas[[#This Row],[QTD SAI]],0)</f>
        <v>29.99</v>
      </c>
    </row>
    <row r="33" spans="4:9" x14ac:dyDescent="0.3">
      <c r="D33" s="10" t="s">
        <v>62</v>
      </c>
      <c r="E33" s="10"/>
      <c r="F33" s="16">
        <v>46241</v>
      </c>
      <c r="G33" s="17">
        <v>1</v>
      </c>
      <c r="H33" s="18">
        <v>49.99</v>
      </c>
      <c r="I33" s="18">
        <f>IFERROR(Tab_Saídas[[#This Row],[VLR_TOT]]/Tab_Saídas[[#This Row],[QTD SAI]],0)</f>
        <v>49.99</v>
      </c>
    </row>
    <row r="34" spans="4:9" x14ac:dyDescent="0.3">
      <c r="D34" s="10" t="s">
        <v>57</v>
      </c>
      <c r="E34" s="10"/>
      <c r="F34" s="16">
        <v>46242</v>
      </c>
      <c r="G34" s="17">
        <v>1</v>
      </c>
      <c r="H34" s="18">
        <v>24.99</v>
      </c>
      <c r="I34" s="18">
        <f>IFERROR(Tab_Saídas[[#This Row],[VLR_TOT]]/Tab_Saídas[[#This Row],[QTD SAI]],0)</f>
        <v>24.99</v>
      </c>
    </row>
    <row r="35" spans="4:9" x14ac:dyDescent="0.3">
      <c r="D35" s="10" t="s">
        <v>59</v>
      </c>
      <c r="E35" s="10"/>
      <c r="F35" s="16">
        <v>46242</v>
      </c>
      <c r="G35" s="17">
        <v>1</v>
      </c>
      <c r="H35" s="18">
        <v>31.99</v>
      </c>
      <c r="I35" s="18">
        <f>IFERROR(Tab_Saídas[[#This Row],[VLR_TOT]]/Tab_Saídas[[#This Row],[QTD SAI]],0)</f>
        <v>31.99</v>
      </c>
    </row>
    <row r="36" spans="4:9" x14ac:dyDescent="0.3">
      <c r="D36" s="10" t="s">
        <v>63</v>
      </c>
      <c r="E36" s="10"/>
      <c r="F36" s="16">
        <v>46242</v>
      </c>
      <c r="G36" s="17">
        <v>1</v>
      </c>
      <c r="H36" s="18">
        <v>29.99</v>
      </c>
      <c r="I36" s="18">
        <f>IFERROR(Tab_Saídas[[#This Row],[VLR_TOT]]/Tab_Saídas[[#This Row],[QTD SAI]],0)</f>
        <v>29.99</v>
      </c>
    </row>
    <row r="37" spans="4:9" x14ac:dyDescent="0.3">
      <c r="D37" s="10" t="s">
        <v>72</v>
      </c>
      <c r="E37" s="10"/>
      <c r="F37" s="16">
        <v>46242</v>
      </c>
      <c r="G37" s="17">
        <v>2</v>
      </c>
      <c r="H37" s="18">
        <v>59.98</v>
      </c>
      <c r="I37" s="18">
        <f>IFERROR(Tab_Saídas[[#This Row],[VLR_TOT]]/Tab_Saídas[[#This Row],[QTD SAI]],0)</f>
        <v>29.99</v>
      </c>
    </row>
    <row r="38" spans="4:9" x14ac:dyDescent="0.3">
      <c r="D38" s="10" t="s">
        <v>52</v>
      </c>
      <c r="E38" s="10"/>
      <c r="F38" s="16">
        <v>46242</v>
      </c>
      <c r="G38" s="17">
        <v>1</v>
      </c>
      <c r="H38" s="18">
        <v>24.99</v>
      </c>
      <c r="I38" s="18">
        <f>IFERROR(Tab_Saídas[[#This Row],[VLR_TOT]]/Tab_Saídas[[#This Row],[QTD SAI]],0)</f>
        <v>24.99</v>
      </c>
    </row>
    <row r="39" spans="4:9" x14ac:dyDescent="0.3">
      <c r="D39" s="10" t="s">
        <v>64</v>
      </c>
      <c r="E39" s="10"/>
      <c r="F39" s="16">
        <v>46242</v>
      </c>
      <c r="G39" s="17">
        <v>1</v>
      </c>
      <c r="H39" s="18">
        <v>27.99</v>
      </c>
      <c r="I39" s="18">
        <f>IFERROR(Tab_Saídas[[#This Row],[VLR_TOT]]/Tab_Saídas[[#This Row],[QTD SAI]],0)</f>
        <v>27.99</v>
      </c>
    </row>
    <row r="40" spans="4:9" x14ac:dyDescent="0.3">
      <c r="D40" s="10" t="s">
        <v>66</v>
      </c>
      <c r="E40" s="10"/>
      <c r="F40" s="16">
        <v>46242</v>
      </c>
      <c r="G40" s="17">
        <v>1</v>
      </c>
      <c r="H40" s="18">
        <v>24.99</v>
      </c>
      <c r="I40" s="18">
        <f>IFERROR(Tab_Saídas[[#This Row],[VLR_TOT]]/Tab_Saídas[[#This Row],[QTD SAI]],0)</f>
        <v>24.99</v>
      </c>
    </row>
    <row r="41" spans="4:9" x14ac:dyDescent="0.3">
      <c r="D41" s="10" t="s">
        <v>57</v>
      </c>
      <c r="E41" s="10"/>
      <c r="F41" s="16">
        <v>46242</v>
      </c>
      <c r="G41" s="17">
        <v>1</v>
      </c>
      <c r="H41" s="18">
        <v>24.99</v>
      </c>
      <c r="I41" s="18">
        <f>IFERROR(Tab_Saídas[[#This Row],[VLR_TOT]]/Tab_Saídas[[#This Row],[QTD SAI]],0)</f>
        <v>24.99</v>
      </c>
    </row>
    <row r="42" spans="4:9" x14ac:dyDescent="0.3">
      <c r="D42" s="10" t="s">
        <v>59</v>
      </c>
      <c r="E42" s="10"/>
      <c r="F42" s="16">
        <v>46242</v>
      </c>
      <c r="G42" s="17">
        <v>1</v>
      </c>
      <c r="H42" s="18">
        <v>31.99</v>
      </c>
      <c r="I42" s="18">
        <f>IFERROR(Tab_Saídas[[#This Row],[VLR_TOT]]/Tab_Saídas[[#This Row],[QTD SAI]],0)</f>
        <v>31.99</v>
      </c>
    </row>
    <row r="43" spans="4:9" x14ac:dyDescent="0.3">
      <c r="D43" s="10" t="s">
        <v>71</v>
      </c>
      <c r="E43" s="10"/>
      <c r="F43" s="16">
        <v>46242</v>
      </c>
      <c r="G43" s="17">
        <v>1</v>
      </c>
      <c r="H43" s="18">
        <v>68</v>
      </c>
      <c r="I43" s="18">
        <f>IFERROR(Tab_Saídas[[#This Row],[VLR_TOT]]/Tab_Saídas[[#This Row],[QTD SAI]],0)</f>
        <v>68</v>
      </c>
    </row>
    <row r="44" spans="4:9" x14ac:dyDescent="0.3">
      <c r="D44" s="10" t="s">
        <v>72</v>
      </c>
      <c r="E44" s="10"/>
      <c r="F44" s="16">
        <v>46242</v>
      </c>
      <c r="G44" s="17">
        <v>1</v>
      </c>
      <c r="H44" s="18">
        <v>29.99</v>
      </c>
      <c r="I44" s="18">
        <f>IFERROR(Tab_Saídas[[#This Row],[VLR_TOT]]/Tab_Saídas[[#This Row],[QTD SAI]],0)</f>
        <v>29.99</v>
      </c>
    </row>
    <row r="45" spans="4:9" x14ac:dyDescent="0.3">
      <c r="D45" s="10" t="s">
        <v>71</v>
      </c>
      <c r="E45" s="10"/>
      <c r="F45" s="16">
        <v>46242</v>
      </c>
      <c r="G45" s="17">
        <v>1</v>
      </c>
      <c r="H45" s="18">
        <v>68</v>
      </c>
      <c r="I45" s="18">
        <f>IFERROR(Tab_Saídas[[#This Row],[VLR_TOT]]/Tab_Saídas[[#This Row],[QTD SAI]],0)</f>
        <v>68</v>
      </c>
    </row>
    <row r="46" spans="4:9" x14ac:dyDescent="0.3">
      <c r="D46" s="10" t="s">
        <v>55</v>
      </c>
      <c r="E46" s="10"/>
      <c r="F46" s="16">
        <v>46243</v>
      </c>
      <c r="G46" s="17">
        <v>1</v>
      </c>
      <c r="H46" s="18">
        <v>24.99</v>
      </c>
      <c r="I46" s="18">
        <f>IFERROR(Tab_Saídas[[#This Row],[VLR_TOT]]/Tab_Saídas[[#This Row],[QTD SAI]],0)</f>
        <v>24.99</v>
      </c>
    </row>
    <row r="47" spans="4:9" x14ac:dyDescent="0.3">
      <c r="D47" s="10" t="s">
        <v>72</v>
      </c>
      <c r="E47" s="10"/>
      <c r="F47" s="16">
        <v>46243</v>
      </c>
      <c r="G47" s="17">
        <v>1</v>
      </c>
      <c r="H47" s="18">
        <v>29.99</v>
      </c>
      <c r="I47" s="18">
        <f>IFERROR(Tab_Saídas[[#This Row],[VLR_TOT]]/Tab_Saídas[[#This Row],[QTD SAI]],0)</f>
        <v>29.99</v>
      </c>
    </row>
    <row r="48" spans="4:9" x14ac:dyDescent="0.3">
      <c r="D48" s="10" t="s">
        <v>71</v>
      </c>
      <c r="E48" s="10"/>
      <c r="F48" s="16">
        <v>46243</v>
      </c>
      <c r="G48" s="17">
        <v>1</v>
      </c>
      <c r="H48" s="18">
        <v>68</v>
      </c>
      <c r="I48" s="18">
        <f>IFERROR(Tab_Saídas[[#This Row],[VLR_TOT]]/Tab_Saídas[[#This Row],[QTD SAI]],0)</f>
        <v>68</v>
      </c>
    </row>
    <row r="49" spans="4:9" x14ac:dyDescent="0.3">
      <c r="D49" s="10" t="s">
        <v>63</v>
      </c>
      <c r="E49" s="10"/>
      <c r="F49" s="16">
        <v>46243</v>
      </c>
      <c r="G49" s="17">
        <v>2</v>
      </c>
      <c r="H49" s="18">
        <v>59.98</v>
      </c>
      <c r="I49" s="18">
        <f>IFERROR(Tab_Saídas[[#This Row],[VLR_TOT]]/Tab_Saídas[[#This Row],[QTD SAI]],0)</f>
        <v>29.99</v>
      </c>
    </row>
    <row r="50" spans="4:9" x14ac:dyDescent="0.3">
      <c r="D50" s="10" t="s">
        <v>72</v>
      </c>
      <c r="E50" s="10"/>
      <c r="F50" s="16">
        <v>46243</v>
      </c>
      <c r="G50" s="17">
        <v>2</v>
      </c>
      <c r="H50" s="18">
        <v>59.98</v>
      </c>
      <c r="I50" s="18">
        <f>IFERROR(Tab_Saídas[[#This Row],[VLR_TOT]]/Tab_Saídas[[#This Row],[QTD SAI]],0)</f>
        <v>29.99</v>
      </c>
    </row>
    <row r="51" spans="4:9" x14ac:dyDescent="0.3">
      <c r="D51" s="10" t="s">
        <v>70</v>
      </c>
      <c r="E51" s="10"/>
      <c r="F51" s="16">
        <v>46243</v>
      </c>
      <c r="G51" s="17">
        <v>1</v>
      </c>
      <c r="H51" s="18">
        <v>14.99</v>
      </c>
      <c r="I51" s="18">
        <f>IFERROR(Tab_Saídas[[#This Row],[VLR_TOT]]/Tab_Saídas[[#This Row],[QTD SAI]],0)</f>
        <v>14.99</v>
      </c>
    </row>
    <row r="52" spans="4:9" x14ac:dyDescent="0.3">
      <c r="D52" s="10" t="s">
        <v>69</v>
      </c>
      <c r="E52" s="10"/>
      <c r="F52" s="16">
        <v>46243</v>
      </c>
      <c r="G52" s="17">
        <v>1</v>
      </c>
      <c r="H52" s="18">
        <v>18.989999999999998</v>
      </c>
      <c r="I52" s="18">
        <f>IFERROR(Tab_Saídas[[#This Row],[VLR_TOT]]/Tab_Saídas[[#This Row],[QTD SAI]],0)</f>
        <v>18.989999999999998</v>
      </c>
    </row>
    <row r="53" spans="4:9" x14ac:dyDescent="0.3">
      <c r="D53" s="10" t="s">
        <v>72</v>
      </c>
      <c r="E53" s="10"/>
      <c r="F53" s="16">
        <v>46243</v>
      </c>
      <c r="G53" s="17">
        <v>2</v>
      </c>
      <c r="H53" s="18">
        <v>59.98</v>
      </c>
      <c r="I53" s="18">
        <f>IFERROR(Tab_Saídas[[#This Row],[VLR_TOT]]/Tab_Saídas[[#This Row],[QTD SAI]],0)</f>
        <v>29.99</v>
      </c>
    </row>
    <row r="54" spans="4:9" x14ac:dyDescent="0.3">
      <c r="D54" s="10" t="s">
        <v>62</v>
      </c>
      <c r="E54" s="10"/>
      <c r="F54" s="16">
        <v>46244</v>
      </c>
      <c r="G54" s="17">
        <v>2</v>
      </c>
      <c r="H54" s="18">
        <v>99.98</v>
      </c>
      <c r="I54" s="18">
        <f>IFERROR(Tab_Saídas[[#This Row],[VLR_TOT]]/Tab_Saídas[[#This Row],[QTD SAI]],0)</f>
        <v>49.99</v>
      </c>
    </row>
    <row r="55" spans="4:9" x14ac:dyDescent="0.3">
      <c r="D55" s="10" t="s">
        <v>57</v>
      </c>
      <c r="E55" s="10"/>
      <c r="F55" s="16">
        <v>46244</v>
      </c>
      <c r="G55" s="17">
        <v>1</v>
      </c>
      <c r="H55" s="18">
        <v>24.99</v>
      </c>
      <c r="I55" s="18">
        <f>IFERROR(Tab_Saídas[[#This Row],[VLR_TOT]]/Tab_Saídas[[#This Row],[QTD SAI]],0)</f>
        <v>24.99</v>
      </c>
    </row>
    <row r="56" spans="4:9" x14ac:dyDescent="0.3">
      <c r="D56" s="10" t="s">
        <v>70</v>
      </c>
      <c r="E56" s="10"/>
      <c r="F56" s="16">
        <v>46244</v>
      </c>
      <c r="G56" s="17">
        <v>1</v>
      </c>
      <c r="H56" s="18">
        <v>14.99</v>
      </c>
      <c r="I56" s="18">
        <f>IFERROR(Tab_Saídas[[#This Row],[VLR_TOT]]/Tab_Saídas[[#This Row],[QTD SAI]],0)</f>
        <v>14.99</v>
      </c>
    </row>
  </sheetData>
  <dataValidations count="1">
    <dataValidation type="custom" allowBlank="1" showInputMessage="1" showErrorMessage="1" errorTitle="Atenção!" error="Nome de Cadastro já informado. Por favor, insira um novo para não ter problemas de informações duplicadas!" sqref="J2" xr:uid="{D6B7E290-7945-45C7-9739-D85E61F3E3FF}">
      <formula1>COUNTIFS(J:J,J2)&lt;=1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D053-6A86-4DD7-8B16-E475A00E4A34}">
  <dimension ref="B2:I17"/>
  <sheetViews>
    <sheetView zoomScale="110" zoomScaleNormal="110" workbookViewId="0">
      <selection activeCell="E9" sqref="E9"/>
    </sheetView>
  </sheetViews>
  <sheetFormatPr defaultRowHeight="14.4" x14ac:dyDescent="0.3"/>
  <cols>
    <col min="1" max="1" width="2" style="1" customWidth="1"/>
    <col min="2" max="2" width="5.88671875" style="1" customWidth="1"/>
    <col min="3" max="3" width="2" style="1" customWidth="1"/>
    <col min="4" max="4" width="13.33203125" style="1" customWidth="1"/>
    <col min="5" max="5" width="18" style="1" customWidth="1"/>
    <col min="6" max="6" width="12.21875" style="1" customWidth="1"/>
    <col min="7" max="8" width="28.5546875" style="1" customWidth="1"/>
    <col min="9" max="16384" width="8.88671875" style="1"/>
  </cols>
  <sheetData>
    <row r="2" spans="2:9" s="3" customFormat="1" ht="27" customHeight="1" x14ac:dyDescent="0.3">
      <c r="B2" s="2"/>
      <c r="D2" s="4" t="s">
        <v>18</v>
      </c>
      <c r="E2" s="5"/>
      <c r="F2" s="6"/>
      <c r="H2" s="7"/>
      <c r="I2" s="8"/>
    </row>
    <row r="4" spans="2:9" x14ac:dyDescent="0.3">
      <c r="G4" s="12"/>
      <c r="H4" s="12"/>
    </row>
    <row r="5" spans="2:9" ht="6" customHeight="1" x14ac:dyDescent="0.3"/>
    <row r="6" spans="2:9" x14ac:dyDescent="0.3">
      <c r="D6" s="10" t="s">
        <v>0</v>
      </c>
      <c r="E6" s="10" t="s">
        <v>29</v>
      </c>
      <c r="F6" s="10" t="s">
        <v>30</v>
      </c>
      <c r="G6" s="10" t="s">
        <v>31</v>
      </c>
      <c r="H6" s="10" t="s">
        <v>32</v>
      </c>
    </row>
    <row r="7" spans="2:9" x14ac:dyDescent="0.3">
      <c r="D7" s="10" t="s">
        <v>69</v>
      </c>
      <c r="E7" s="16">
        <v>46242</v>
      </c>
      <c r="F7" s="17">
        <v>-1</v>
      </c>
      <c r="G7" s="10" t="s">
        <v>94</v>
      </c>
      <c r="H7" s="10"/>
    </row>
    <row r="8" spans="2:9" x14ac:dyDescent="0.3">
      <c r="D8" s="10" t="s">
        <v>70</v>
      </c>
      <c r="E8" s="16">
        <v>46242</v>
      </c>
      <c r="F8" s="17">
        <v>-1</v>
      </c>
      <c r="G8" s="10" t="s">
        <v>94</v>
      </c>
      <c r="H8" s="10"/>
    </row>
    <row r="9" spans="2:9" x14ac:dyDescent="0.3">
      <c r="D9" s="10" t="s">
        <v>69</v>
      </c>
      <c r="E9" s="16">
        <v>46242</v>
      </c>
      <c r="F9" s="17">
        <v>-1</v>
      </c>
      <c r="G9" s="10" t="s">
        <v>95</v>
      </c>
      <c r="H9" s="10"/>
    </row>
    <row r="10" spans="2:9" x14ac:dyDescent="0.3">
      <c r="D10" s="10" t="s">
        <v>70</v>
      </c>
      <c r="E10" s="16">
        <v>46242</v>
      </c>
      <c r="F10" s="17">
        <v>-1</v>
      </c>
      <c r="G10" s="10" t="s">
        <v>96</v>
      </c>
      <c r="H10" s="10"/>
    </row>
    <row r="11" spans="2:9" x14ac:dyDescent="0.3">
      <c r="D11" s="10" t="s">
        <v>70</v>
      </c>
      <c r="E11" s="16">
        <v>46242</v>
      </c>
      <c r="F11" s="17">
        <v>-1</v>
      </c>
      <c r="G11" s="10" t="s">
        <v>97</v>
      </c>
      <c r="H11" s="10"/>
    </row>
    <row r="12" spans="2:9" x14ac:dyDescent="0.3">
      <c r="D12" s="10" t="s">
        <v>70</v>
      </c>
      <c r="E12" s="16">
        <v>46242</v>
      </c>
      <c r="F12" s="17">
        <v>-1</v>
      </c>
      <c r="G12" s="10" t="s">
        <v>98</v>
      </c>
      <c r="H12" s="10"/>
    </row>
    <row r="13" spans="2:9" x14ac:dyDescent="0.3">
      <c r="D13" s="10" t="s">
        <v>69</v>
      </c>
      <c r="E13" s="16">
        <v>46242</v>
      </c>
      <c r="F13" s="17">
        <v>-1</v>
      </c>
      <c r="G13" s="10" t="s">
        <v>98</v>
      </c>
      <c r="H13" s="10"/>
    </row>
    <row r="14" spans="2:9" x14ac:dyDescent="0.3">
      <c r="D14" s="10" t="s">
        <v>70</v>
      </c>
      <c r="E14" s="16">
        <v>46242</v>
      </c>
      <c r="F14" s="17">
        <v>-1</v>
      </c>
      <c r="G14" s="10" t="s">
        <v>98</v>
      </c>
      <c r="H14" s="10"/>
    </row>
    <row r="15" spans="2:9" x14ac:dyDescent="0.3">
      <c r="D15" s="10" t="s">
        <v>69</v>
      </c>
      <c r="E15" s="16">
        <v>46242</v>
      </c>
      <c r="F15" s="17">
        <v>-1</v>
      </c>
      <c r="G15" s="10" t="s">
        <v>98</v>
      </c>
      <c r="H15" s="10"/>
    </row>
    <row r="16" spans="2:9" x14ac:dyDescent="0.3">
      <c r="D16" s="10" t="s">
        <v>70</v>
      </c>
      <c r="E16" s="16">
        <v>46242</v>
      </c>
      <c r="F16" s="17">
        <v>-1</v>
      </c>
      <c r="G16" s="10" t="s">
        <v>98</v>
      </c>
      <c r="H16" s="10"/>
    </row>
    <row r="17" spans="4:8" x14ac:dyDescent="0.3">
      <c r="D17" s="10" t="s">
        <v>69</v>
      </c>
      <c r="E17" s="16">
        <v>46242</v>
      </c>
      <c r="F17" s="17">
        <v>-1</v>
      </c>
      <c r="G17" s="10" t="s">
        <v>98</v>
      </c>
      <c r="H17" s="10"/>
    </row>
  </sheetData>
  <dataValidations count="1">
    <dataValidation type="custom" allowBlank="1" showInputMessage="1" showErrorMessage="1" errorTitle="Atenção!" error="Nome de Cadastro já informado. Por favor, insira um novo para não ter problemas de informações duplicadas!" sqref="J2" xr:uid="{A9AA31CE-27E2-4F3A-9B7F-2954DFBF57A2}">
      <formula1>COUNTIFS(J:J,J2)&lt;=1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PRODUTOS</vt:lpstr>
      <vt:lpstr>CONSULTA</vt:lpstr>
      <vt:lpstr>ENTRADAS</vt:lpstr>
      <vt:lpstr>SAÍDAS</vt:lpstr>
      <vt:lpstr>AJUSTES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Sardinha Junior</dc:creator>
  <cp:lastModifiedBy>Marcelo Pires dos Santos</cp:lastModifiedBy>
  <dcterms:created xsi:type="dcterms:W3CDTF">2015-06-05T18:19:34Z</dcterms:created>
  <dcterms:modified xsi:type="dcterms:W3CDTF">2026-08-11T20:07:51Z</dcterms:modified>
</cp:coreProperties>
</file>